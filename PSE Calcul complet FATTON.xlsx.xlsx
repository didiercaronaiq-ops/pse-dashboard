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2ddc44d6d8471646/1. AIQ/PSE/"/>
    </mc:Choice>
  </mc:AlternateContent>
  <xr:revisionPtr revIDLastSave="2040" documentId="8_{9B6B5871-20E1-4B41-9727-41AEF32D48D1}" xr6:coauthVersionLast="47" xr6:coauthVersionMax="47" xr10:uidLastSave="{B2D84D6A-6C14-4988-BC2E-F0A8DF3E13D5}"/>
  <bookViews>
    <workbookView xWindow="-98" yWindow="-98" windowWidth="21795" windowHeight="12975" tabRatio="868" firstSheet="1" xr2:uid="{00000000-000D-0000-FFFF-FFFF00000000}"/>
  </bookViews>
  <sheets>
    <sheet name="👥 Personnel" sheetId="3" r:id="rId1"/>
    <sheet name="📈 Dashboard" sheetId="1" r:id="rId2"/>
    <sheet name="📊 Tableaux PSE" sheetId="10" r:id="rId3"/>
    <sheet name="📊 Analyse Éco PSE" sheetId="8" r:id="rId4"/>
    <sheet name="💰 Calcul Indemnites" sheetId="4" r:id="rId5"/>
    <sheet name="📊 Masse Salariale" sheetId="5" r:id="rId6"/>
    <sheet name="⚖️ Legal vs Conventionnel" sheetId="6" r:id="rId7"/>
    <sheet name="📋 Synthèse PSE" sheetId="7" r:id="rId8"/>
    <sheet name="⚙️ Parametres" sheetId="2" r:id="rId9"/>
    <sheet name="Feuil1" sheetId="11" r:id="rId10"/>
    <sheet name="Feuil2" sheetId="12" r:id="rId11"/>
  </sheets>
  <externalReferences>
    <externalReference r:id="rId12"/>
  </externalReferences>
  <definedNames>
    <definedName name="_xlnm._FilterDatabase" localSheetId="6" hidden="1">'⚖️ Legal vs Conventionnel'!$A$3:$I$37</definedName>
    <definedName name="_xlnm._FilterDatabase" localSheetId="0" hidden="1">'👥 Personnel'!$A$3:$AC$40</definedName>
    <definedName name="_xlnm._FilterDatabase" localSheetId="4" hidden="1">'💰 Calcul Indemnites'!$A$3:$T$37</definedName>
    <definedName name="base">[1]Feuil2!$B$4:$M$37</definedName>
    <definedName name="_xlnm.Print_Area" localSheetId="1">'📈 Dashboard'!$A$1:$P$78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2" l="1"/>
  <c r="Z55" i="12"/>
  <c r="Y55" i="12"/>
  <c r="X55" i="12"/>
  <c r="V55" i="12"/>
  <c r="AB55" i="12" s="1"/>
  <c r="U55" i="12"/>
  <c r="T55" i="12"/>
  <c r="Z54" i="12"/>
  <c r="Y54" i="12"/>
  <c r="X54" i="12"/>
  <c r="V54" i="12"/>
  <c r="AB54" i="12" s="1"/>
  <c r="U54" i="12"/>
  <c r="T54" i="12"/>
  <c r="Z53" i="12"/>
  <c r="Y53" i="12"/>
  <c r="X53" i="12"/>
  <c r="V53" i="12"/>
  <c r="AB53" i="12" s="1"/>
  <c r="U53" i="12"/>
  <c r="T53" i="12"/>
  <c r="Z52" i="12"/>
  <c r="Y52" i="12"/>
  <c r="X52" i="12"/>
  <c r="V52" i="12"/>
  <c r="AB52" i="12" s="1"/>
  <c r="U52" i="12"/>
  <c r="T52" i="12"/>
  <c r="Z51" i="12"/>
  <c r="Y51" i="12"/>
  <c r="X51" i="12"/>
  <c r="V51" i="12"/>
  <c r="AB51" i="12" s="1"/>
  <c r="U51" i="12"/>
  <c r="T51" i="12"/>
  <c r="Z50" i="12"/>
  <c r="Y50" i="12"/>
  <c r="X50" i="12"/>
  <c r="V50" i="12"/>
  <c r="AB50" i="12" s="1"/>
  <c r="U50" i="12"/>
  <c r="T50" i="12"/>
  <c r="Z49" i="12"/>
  <c r="Y49" i="12"/>
  <c r="X49" i="12"/>
  <c r="V49" i="12"/>
  <c r="AB49" i="12" s="1"/>
  <c r="U49" i="12"/>
  <c r="T49" i="12"/>
  <c r="Z48" i="12"/>
  <c r="Y48" i="12"/>
  <c r="X48" i="12"/>
  <c r="V48" i="12"/>
  <c r="AB48" i="12" s="1"/>
  <c r="U48" i="12"/>
  <c r="T48" i="12"/>
  <c r="Z47" i="12"/>
  <c r="Y47" i="12"/>
  <c r="X47" i="12"/>
  <c r="V47" i="12"/>
  <c r="AB47" i="12" s="1"/>
  <c r="U47" i="12"/>
  <c r="T47" i="12"/>
  <c r="Z46" i="12"/>
  <c r="Y46" i="12"/>
  <c r="X46" i="12"/>
  <c r="V46" i="12"/>
  <c r="AB46" i="12" s="1"/>
  <c r="U46" i="12"/>
  <c r="T46" i="12"/>
  <c r="Z45" i="12"/>
  <c r="Y45" i="12"/>
  <c r="X45" i="12"/>
  <c r="V45" i="12"/>
  <c r="AB45" i="12" s="1"/>
  <c r="U45" i="12"/>
  <c r="T45" i="12"/>
  <c r="Z44" i="12"/>
  <c r="Y44" i="12"/>
  <c r="X44" i="12"/>
  <c r="V44" i="12"/>
  <c r="AB44" i="12" s="1"/>
  <c r="U44" i="12"/>
  <c r="T44" i="12"/>
  <c r="Z43" i="12"/>
  <c r="Y43" i="12"/>
  <c r="X43" i="12"/>
  <c r="V43" i="12"/>
  <c r="AB43" i="12" s="1"/>
  <c r="U43" i="12"/>
  <c r="T43" i="12"/>
  <c r="Z42" i="12"/>
  <c r="Y42" i="12"/>
  <c r="X42" i="12"/>
  <c r="V42" i="12"/>
  <c r="AB42" i="12" s="1"/>
  <c r="U42" i="12"/>
  <c r="T42" i="12"/>
  <c r="Z41" i="12"/>
  <c r="Y41" i="12"/>
  <c r="X41" i="12"/>
  <c r="V41" i="12"/>
  <c r="AB41" i="12" s="1"/>
  <c r="U41" i="12"/>
  <c r="T41" i="12"/>
  <c r="G41" i="12"/>
  <c r="Z40" i="12"/>
  <c r="Y40" i="12"/>
  <c r="X40" i="12"/>
  <c r="V40" i="12"/>
  <c r="AB40" i="12" s="1"/>
  <c r="U40" i="12"/>
  <c r="T40" i="12"/>
  <c r="P40" i="12"/>
  <c r="Z39" i="12"/>
  <c r="Y39" i="12"/>
  <c r="X39" i="12"/>
  <c r="V39" i="12"/>
  <c r="AA39" i="12" s="1"/>
  <c r="U39" i="12"/>
  <c r="T39" i="12"/>
  <c r="P39" i="12"/>
  <c r="AB38" i="12"/>
  <c r="AA38" i="12"/>
  <c r="Z38" i="12"/>
  <c r="Y38" i="12"/>
  <c r="X38" i="12"/>
  <c r="V38" i="12"/>
  <c r="U38" i="12"/>
  <c r="T38" i="12"/>
  <c r="P38" i="12"/>
  <c r="Z37" i="12"/>
  <c r="Y37" i="12"/>
  <c r="X37" i="12"/>
  <c r="V37" i="12"/>
  <c r="AA37" i="12" s="1"/>
  <c r="U37" i="12"/>
  <c r="T37" i="12"/>
  <c r="P37" i="12"/>
  <c r="AB36" i="12"/>
  <c r="AA36" i="12"/>
  <c r="Z36" i="12"/>
  <c r="Y36" i="12"/>
  <c r="X36" i="12"/>
  <c r="V36" i="12"/>
  <c r="U36" i="12"/>
  <c r="T36" i="12"/>
  <c r="P36" i="12"/>
  <c r="Z35" i="12"/>
  <c r="Y35" i="12"/>
  <c r="X35" i="12"/>
  <c r="V35" i="12"/>
  <c r="AB35" i="12" s="1"/>
  <c r="U35" i="12"/>
  <c r="T35" i="12"/>
  <c r="P35" i="12"/>
  <c r="Z34" i="12"/>
  <c r="Y34" i="12"/>
  <c r="X34" i="12"/>
  <c r="V34" i="12"/>
  <c r="AB34" i="12" s="1"/>
  <c r="U34" i="12"/>
  <c r="T34" i="12"/>
  <c r="P34" i="12"/>
  <c r="Z33" i="12"/>
  <c r="Y33" i="12"/>
  <c r="X33" i="12"/>
  <c r="V33" i="12"/>
  <c r="AA33" i="12" s="1"/>
  <c r="U33" i="12"/>
  <c r="T33" i="12"/>
  <c r="P33" i="12"/>
  <c r="Z32" i="12"/>
  <c r="Y32" i="12"/>
  <c r="X32" i="12"/>
  <c r="V32" i="12"/>
  <c r="AB32" i="12" s="1"/>
  <c r="U32" i="12"/>
  <c r="T32" i="12"/>
  <c r="P32" i="12"/>
  <c r="AB31" i="12"/>
  <c r="AA31" i="12"/>
  <c r="Z31" i="12"/>
  <c r="Y31" i="12"/>
  <c r="X31" i="12"/>
  <c r="V31" i="12"/>
  <c r="U31" i="12"/>
  <c r="T31" i="12"/>
  <c r="P31" i="12"/>
  <c r="Z30" i="12"/>
  <c r="Y30" i="12"/>
  <c r="X30" i="12"/>
  <c r="V30" i="12"/>
  <c r="AB30" i="12" s="1"/>
  <c r="U30" i="12"/>
  <c r="T30" i="12"/>
  <c r="P30" i="12"/>
  <c r="AB29" i="12"/>
  <c r="AA29" i="12"/>
  <c r="Z29" i="12"/>
  <c r="Y29" i="12"/>
  <c r="X29" i="12"/>
  <c r="V29" i="12"/>
  <c r="U29" i="12"/>
  <c r="T29" i="12"/>
  <c r="P29" i="12"/>
  <c r="Z28" i="12"/>
  <c r="Y28" i="12"/>
  <c r="X28" i="12"/>
  <c r="V28" i="12"/>
  <c r="AB28" i="12" s="1"/>
  <c r="U28" i="12"/>
  <c r="T28" i="12"/>
  <c r="P28" i="12"/>
  <c r="AB27" i="12"/>
  <c r="Z27" i="12"/>
  <c r="Y27" i="12"/>
  <c r="X27" i="12"/>
  <c r="V27" i="12"/>
  <c r="AA27" i="12" s="1"/>
  <c r="U27" i="12"/>
  <c r="T27" i="12"/>
  <c r="P27" i="12"/>
  <c r="Z26" i="12"/>
  <c r="Y26" i="12"/>
  <c r="X26" i="12"/>
  <c r="V26" i="12"/>
  <c r="AB26" i="12" s="1"/>
  <c r="U26" i="12"/>
  <c r="T26" i="12"/>
  <c r="P26" i="12"/>
  <c r="Z25" i="12"/>
  <c r="Y25" i="12"/>
  <c r="X25" i="12"/>
  <c r="V25" i="12"/>
  <c r="AB25" i="12" s="1"/>
  <c r="U25" i="12"/>
  <c r="T25" i="12"/>
  <c r="P25" i="12"/>
  <c r="Z24" i="12"/>
  <c r="Y24" i="12"/>
  <c r="X24" i="12"/>
  <c r="V24" i="12"/>
  <c r="AB24" i="12" s="1"/>
  <c r="U24" i="12"/>
  <c r="T24" i="12"/>
  <c r="P24" i="12"/>
  <c r="Z23" i="12"/>
  <c r="Y23" i="12"/>
  <c r="X23" i="12"/>
  <c r="V23" i="12"/>
  <c r="AA23" i="12" s="1"/>
  <c r="U23" i="12"/>
  <c r="T23" i="12"/>
  <c r="P23" i="12"/>
  <c r="AB22" i="12"/>
  <c r="AA22" i="12"/>
  <c r="Z22" i="12"/>
  <c r="Y22" i="12"/>
  <c r="X22" i="12"/>
  <c r="V22" i="12"/>
  <c r="U22" i="12"/>
  <c r="T22" i="12"/>
  <c r="P22" i="12"/>
  <c r="Z21" i="12"/>
  <c r="Y21" i="12"/>
  <c r="X21" i="12"/>
  <c r="V21" i="12"/>
  <c r="AA21" i="12" s="1"/>
  <c r="U21" i="12"/>
  <c r="T21" i="12"/>
  <c r="P21" i="12"/>
  <c r="AB20" i="12"/>
  <c r="AA20" i="12"/>
  <c r="Z20" i="12"/>
  <c r="Y20" i="12"/>
  <c r="X20" i="12"/>
  <c r="V20" i="12"/>
  <c r="U20" i="12"/>
  <c r="T20" i="12"/>
  <c r="P20" i="12"/>
  <c r="Z19" i="12"/>
  <c r="Y19" i="12"/>
  <c r="X19" i="12"/>
  <c r="V19" i="12"/>
  <c r="AB19" i="12" s="1"/>
  <c r="U19" i="12"/>
  <c r="T19" i="12"/>
  <c r="P19" i="12"/>
  <c r="Z18" i="12"/>
  <c r="Y18" i="12"/>
  <c r="X18" i="12"/>
  <c r="V18" i="12"/>
  <c r="AB18" i="12" s="1"/>
  <c r="U18" i="12"/>
  <c r="T18" i="12"/>
  <c r="P18" i="12"/>
  <c r="Z17" i="12"/>
  <c r="Y17" i="12"/>
  <c r="X17" i="12"/>
  <c r="V17" i="12"/>
  <c r="AA17" i="12" s="1"/>
  <c r="U17" i="12"/>
  <c r="T17" i="12"/>
  <c r="P17" i="12"/>
  <c r="Z16" i="12"/>
  <c r="Y16" i="12"/>
  <c r="X16" i="12"/>
  <c r="V16" i="12"/>
  <c r="AB16" i="12" s="1"/>
  <c r="U16" i="12"/>
  <c r="T16" i="12"/>
  <c r="P16" i="12"/>
  <c r="AB15" i="12"/>
  <c r="AA15" i="12"/>
  <c r="Z15" i="12"/>
  <c r="Y15" i="12"/>
  <c r="X15" i="12"/>
  <c r="V15" i="12"/>
  <c r="U15" i="12"/>
  <c r="T15" i="12"/>
  <c r="P15" i="12"/>
  <c r="Z14" i="12"/>
  <c r="Y14" i="12"/>
  <c r="X14" i="12"/>
  <c r="V14" i="12"/>
  <c r="AB14" i="12" s="1"/>
  <c r="U14" i="12"/>
  <c r="T14" i="12"/>
  <c r="P14" i="12"/>
  <c r="AB13" i="12"/>
  <c r="AA13" i="12"/>
  <c r="Z13" i="12"/>
  <c r="Y13" i="12"/>
  <c r="X13" i="12"/>
  <c r="V13" i="12"/>
  <c r="U13" i="12"/>
  <c r="T13" i="12"/>
  <c r="P13" i="12"/>
  <c r="Z12" i="12"/>
  <c r="Y12" i="12"/>
  <c r="X12" i="12"/>
  <c r="V12" i="12"/>
  <c r="AB12" i="12" s="1"/>
  <c r="U12" i="12"/>
  <c r="T12" i="12"/>
  <c r="P12" i="12"/>
  <c r="AB11" i="12"/>
  <c r="Z11" i="12"/>
  <c r="Y11" i="12"/>
  <c r="X11" i="12"/>
  <c r="V11" i="12"/>
  <c r="AA11" i="12" s="1"/>
  <c r="U11" i="12"/>
  <c r="T11" i="12"/>
  <c r="P11" i="12"/>
  <c r="Z10" i="12"/>
  <c r="Y10" i="12"/>
  <c r="X10" i="12"/>
  <c r="V10" i="12"/>
  <c r="AB10" i="12" s="1"/>
  <c r="U10" i="12"/>
  <c r="T10" i="12"/>
  <c r="P10" i="12"/>
  <c r="Z9" i="12"/>
  <c r="Y9" i="12"/>
  <c r="X9" i="12"/>
  <c r="V9" i="12"/>
  <c r="AB9" i="12" s="1"/>
  <c r="U9" i="12"/>
  <c r="T9" i="12"/>
  <c r="P9" i="12"/>
  <c r="Z8" i="12"/>
  <c r="Y8" i="12"/>
  <c r="X8" i="12"/>
  <c r="V8" i="12"/>
  <c r="AB8" i="12" s="1"/>
  <c r="U8" i="12"/>
  <c r="T8" i="12"/>
  <c r="P8" i="12"/>
  <c r="Z7" i="12"/>
  <c r="Y7" i="12"/>
  <c r="X7" i="12"/>
  <c r="V7" i="12"/>
  <c r="AA7" i="12" s="1"/>
  <c r="U7" i="12"/>
  <c r="T7" i="12"/>
  <c r="P7" i="12"/>
  <c r="AB6" i="12"/>
  <c r="AA6" i="12"/>
  <c r="Z6" i="12"/>
  <c r="Y6" i="12"/>
  <c r="X6" i="12"/>
  <c r="V6" i="12"/>
  <c r="U6" i="12"/>
  <c r="T6" i="12"/>
  <c r="P6" i="12"/>
  <c r="Z5" i="12"/>
  <c r="Y5" i="12"/>
  <c r="X5" i="12"/>
  <c r="V5" i="12"/>
  <c r="AA5" i="12" s="1"/>
  <c r="U5" i="12"/>
  <c r="T5" i="12"/>
  <c r="P5" i="12"/>
  <c r="AB4" i="12"/>
  <c r="AA4" i="12"/>
  <c r="Z4" i="12"/>
  <c r="Y4" i="12"/>
  <c r="X4" i="12"/>
  <c r="V4" i="12"/>
  <c r="U4" i="12"/>
  <c r="T4" i="12"/>
  <c r="P4" i="12"/>
  <c r="L3" i="2" a="1"/>
  <c r="A30" i="10" s="1"/>
  <c r="F30" i="10" s="1"/>
  <c r="K3" i="2" a="1"/>
  <c r="K3" i="2" s="1"/>
  <c r="AA2" i="1" s="1"/>
  <c r="AC2" i="1" s="1" a="1"/>
  <c r="AC2" i="1" s="1"/>
  <c r="J3" i="2" a="1"/>
  <c r="F37" i="4"/>
  <c r="E37" i="4"/>
  <c r="D37" i="4"/>
  <c r="C37" i="4"/>
  <c r="B37" i="4"/>
  <c r="A37" i="4"/>
  <c r="F36" i="4"/>
  <c r="E36" i="4"/>
  <c r="D36" i="4"/>
  <c r="C36" i="4"/>
  <c r="B36" i="4"/>
  <c r="A36" i="4"/>
  <c r="F35" i="4"/>
  <c r="E35" i="4"/>
  <c r="D35" i="4"/>
  <c r="C35" i="4"/>
  <c r="B35" i="4"/>
  <c r="A35" i="4"/>
  <c r="F34" i="4"/>
  <c r="E34" i="4"/>
  <c r="D34" i="4"/>
  <c r="C34" i="4"/>
  <c r="B34" i="4"/>
  <c r="A34" i="4"/>
  <c r="F33" i="4"/>
  <c r="E33" i="4"/>
  <c r="D33" i="4"/>
  <c r="C33" i="4"/>
  <c r="B33" i="4"/>
  <c r="A33" i="4"/>
  <c r="F32" i="4"/>
  <c r="E32" i="4"/>
  <c r="D32" i="4"/>
  <c r="C32" i="4"/>
  <c r="B32" i="4"/>
  <c r="A32" i="4"/>
  <c r="F31" i="4"/>
  <c r="E31" i="4"/>
  <c r="D31" i="4"/>
  <c r="C31" i="4"/>
  <c r="B31" i="4"/>
  <c r="A31" i="4"/>
  <c r="F30" i="4"/>
  <c r="E30" i="4"/>
  <c r="D30" i="4"/>
  <c r="C30" i="4"/>
  <c r="B30" i="4"/>
  <c r="A30" i="4"/>
  <c r="F29" i="4"/>
  <c r="E29" i="4"/>
  <c r="D29" i="4"/>
  <c r="C29" i="4"/>
  <c r="B29" i="4"/>
  <c r="A29" i="4"/>
  <c r="F28" i="4"/>
  <c r="E28" i="4"/>
  <c r="D28" i="4"/>
  <c r="C28" i="4"/>
  <c r="B28" i="4"/>
  <c r="A28" i="4"/>
  <c r="F27" i="4"/>
  <c r="E27" i="4"/>
  <c r="D27" i="4"/>
  <c r="C27" i="4"/>
  <c r="B27" i="4"/>
  <c r="A27" i="4"/>
  <c r="F26" i="4"/>
  <c r="E26" i="4"/>
  <c r="D26" i="4"/>
  <c r="C26" i="4"/>
  <c r="B26" i="4"/>
  <c r="A26" i="4"/>
  <c r="F25" i="4"/>
  <c r="E25" i="4"/>
  <c r="D25" i="4"/>
  <c r="C25" i="4"/>
  <c r="B25" i="4"/>
  <c r="A25" i="4"/>
  <c r="F24" i="4"/>
  <c r="E24" i="4"/>
  <c r="D24" i="4"/>
  <c r="C24" i="4"/>
  <c r="B24" i="4"/>
  <c r="A24" i="4"/>
  <c r="F23" i="4"/>
  <c r="E23" i="4"/>
  <c r="D23" i="4"/>
  <c r="C23" i="4"/>
  <c r="B23" i="4"/>
  <c r="A23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F13" i="4"/>
  <c r="E13" i="4"/>
  <c r="D13" i="4"/>
  <c r="C13" i="4"/>
  <c r="B13" i="4"/>
  <c r="A13" i="4"/>
  <c r="F12" i="4"/>
  <c r="E12" i="4"/>
  <c r="D12" i="4"/>
  <c r="C12" i="4"/>
  <c r="B12" i="4"/>
  <c r="A12" i="4"/>
  <c r="F11" i="4"/>
  <c r="E11" i="4"/>
  <c r="D11" i="4"/>
  <c r="C11" i="4"/>
  <c r="B11" i="4"/>
  <c r="A11" i="4"/>
  <c r="F10" i="4"/>
  <c r="E10" i="4"/>
  <c r="D10" i="4"/>
  <c r="C10" i="4"/>
  <c r="B10" i="4"/>
  <c r="A10" i="4"/>
  <c r="F9" i="4"/>
  <c r="E9" i="4"/>
  <c r="D9" i="4"/>
  <c r="C9" i="4"/>
  <c r="B9" i="4"/>
  <c r="A9" i="4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C37" i="6"/>
  <c r="B37" i="6"/>
  <c r="A37" i="6"/>
  <c r="C36" i="6"/>
  <c r="B36" i="6"/>
  <c r="A36" i="6"/>
  <c r="C35" i="6"/>
  <c r="B35" i="6"/>
  <c r="A35" i="6"/>
  <c r="C34" i="6"/>
  <c r="B34" i="6"/>
  <c r="A34" i="6"/>
  <c r="C33" i="6"/>
  <c r="B33" i="6"/>
  <c r="A33" i="6"/>
  <c r="C32" i="6"/>
  <c r="B32" i="6"/>
  <c r="A32" i="6"/>
  <c r="C31" i="6"/>
  <c r="B31" i="6"/>
  <c r="A31" i="6"/>
  <c r="C30" i="6"/>
  <c r="B30" i="6"/>
  <c r="A30" i="6"/>
  <c r="C29" i="6"/>
  <c r="B29" i="6"/>
  <c r="A29" i="6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C18" i="6"/>
  <c r="B18" i="6"/>
  <c r="A18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C8" i="6"/>
  <c r="B8" i="6"/>
  <c r="A8" i="6"/>
  <c r="C7" i="6"/>
  <c r="B7" i="6"/>
  <c r="A7" i="6"/>
  <c r="C6" i="6"/>
  <c r="B6" i="6"/>
  <c r="A6" i="6"/>
  <c r="C5" i="6"/>
  <c r="B5" i="6"/>
  <c r="A5" i="6"/>
  <c r="C4" i="6"/>
  <c r="B4" i="6"/>
  <c r="A4" i="6"/>
  <c r="B12" i="8" a="1"/>
  <c r="B12" i="8" s="1"/>
  <c r="B65" i="7"/>
  <c r="B62" i="7" a="1"/>
  <c r="B62" i="7" s="1"/>
  <c r="B59" i="7" a="1"/>
  <c r="B59" i="7" s="1"/>
  <c r="B64" i="7" s="1" a="1"/>
  <c r="B64" i="7" s="1"/>
  <c r="B58" i="7"/>
  <c r="J6" i="10" a="1"/>
  <c r="J6" i="10" s="1"/>
  <c r="J5" i="10" a="1"/>
  <c r="J5" i="10" s="1"/>
  <c r="I6" i="10"/>
  <c r="I5" i="10"/>
  <c r="C16" i="5"/>
  <c r="C7" i="5"/>
  <c r="K19" i="1" a="1"/>
  <c r="K19" i="1" s="1"/>
  <c r="K18" i="1" a="1"/>
  <c r="K18" i="1" s="1"/>
  <c r="J19" i="1"/>
  <c r="J18" i="1"/>
  <c r="T4" i="1" a="1"/>
  <c r="T4" i="1" s="1"/>
  <c r="S4" i="1" a="1"/>
  <c r="S4" i="1" s="1"/>
  <c r="R4" i="1" a="1"/>
  <c r="R4" i="1" s="1"/>
  <c r="Q4" i="1" a="1"/>
  <c r="Q4" i="1" s="1"/>
  <c r="C18" i="1" a="1"/>
  <c r="C18" i="1" s="1"/>
  <c r="C17" i="1" a="1"/>
  <c r="C17" i="1" s="1"/>
  <c r="B18" i="1"/>
  <c r="B17" i="1"/>
  <c r="B4" i="1" a="1"/>
  <c r="B4" i="1" s="1"/>
  <c r="B16" i="8" s="1" a="1"/>
  <c r="B16" i="8" s="1"/>
  <c r="C16" i="8" s="1"/>
  <c r="A4" i="1"/>
  <c r="AO18" i="3"/>
  <c r="AO32" i="3"/>
  <c r="AM33" i="3"/>
  <c r="AO33" i="3" s="1"/>
  <c r="AM10" i="3"/>
  <c r="AM34" i="3"/>
  <c r="AO34" i="3" s="1"/>
  <c r="AM28" i="3"/>
  <c r="AO28" i="3" s="1"/>
  <c r="AM37" i="3"/>
  <c r="AM18" i="3"/>
  <c r="AM32" i="3"/>
  <c r="AM36" i="3"/>
  <c r="Q13" i="3"/>
  <c r="Q19" i="3"/>
  <c r="Q17" i="3"/>
  <c r="Q36" i="3"/>
  <c r="Q32" i="3"/>
  <c r="Q30" i="3"/>
  <c r="Q7" i="3"/>
  <c r="Q35" i="3"/>
  <c r="Q18" i="3"/>
  <c r="Q8" i="3"/>
  <c r="Q14" i="3"/>
  <c r="Q37" i="3"/>
  <c r="Q21" i="3"/>
  <c r="Q29" i="3"/>
  <c r="Q11" i="3"/>
  <c r="Q12" i="3"/>
  <c r="Q6" i="3"/>
  <c r="Q5" i="3"/>
  <c r="Q28" i="3"/>
  <c r="Q15" i="3"/>
  <c r="Q34" i="3"/>
  <c r="Q25" i="3"/>
  <c r="Q24" i="3"/>
  <c r="Q26" i="3"/>
  <c r="Q31" i="3"/>
  <c r="Q10" i="3"/>
  <c r="Q33" i="3"/>
  <c r="Q23" i="3"/>
  <c r="Q9" i="3"/>
  <c r="Q16" i="3"/>
  <c r="Q4" i="3"/>
  <c r="Q27" i="3"/>
  <c r="Q22" i="3"/>
  <c r="Q20" i="3"/>
  <c r="B36" i="1"/>
  <c r="B35" i="1"/>
  <c r="Q33" i="4" l="1"/>
  <c r="D10" i="8"/>
  <c r="O33" i="4"/>
  <c r="AA10" i="12"/>
  <c r="AB17" i="12"/>
  <c r="AA26" i="12"/>
  <c r="AB33" i="12"/>
  <c r="AA42" i="12"/>
  <c r="AA46" i="12"/>
  <c r="AA50" i="12"/>
  <c r="AA52" i="12"/>
  <c r="AB5" i="12"/>
  <c r="AA14" i="12"/>
  <c r="AB21" i="12"/>
  <c r="AA30" i="12"/>
  <c r="AB37" i="12"/>
  <c r="AB7" i="12"/>
  <c r="AA16" i="12"/>
  <c r="AB23" i="12"/>
  <c r="AA32" i="12"/>
  <c r="AB39" i="12"/>
  <c r="AA9" i="12"/>
  <c r="AA25" i="12"/>
  <c r="AA41" i="12"/>
  <c r="AA18" i="12"/>
  <c r="AA34" i="12"/>
  <c r="AA43" i="12"/>
  <c r="AA45" i="12"/>
  <c r="AA47" i="12"/>
  <c r="AA49" i="12"/>
  <c r="AA51" i="12"/>
  <c r="AA53" i="12"/>
  <c r="AA55" i="12"/>
  <c r="AA8" i="12"/>
  <c r="AA24" i="12"/>
  <c r="AA40" i="12"/>
  <c r="AA44" i="12"/>
  <c r="AA48" i="12"/>
  <c r="AA54" i="12"/>
  <c r="AA19" i="12"/>
  <c r="AA35" i="12"/>
  <c r="AA12" i="12"/>
  <c r="AA28" i="12"/>
  <c r="O34" i="4"/>
  <c r="C9" i="8"/>
  <c r="C10" i="8"/>
  <c r="D9" i="8"/>
  <c r="A13" i="1"/>
  <c r="D13" i="1" s="1"/>
  <c r="A17" i="7"/>
  <c r="C17" i="7" s="1" a="1"/>
  <c r="C17" i="7" s="1"/>
  <c r="I12" i="1"/>
  <c r="A18" i="7"/>
  <c r="C18" i="7" s="1" a="1"/>
  <c r="C18" i="7" s="1"/>
  <c r="A20" i="7"/>
  <c r="C20" i="7" s="1" a="1"/>
  <c r="C20" i="7" s="1"/>
  <c r="I9" i="1"/>
  <c r="K9" i="1" s="1" a="1"/>
  <c r="K9" i="1" s="1"/>
  <c r="I11" i="1"/>
  <c r="J11" i="1" s="1"/>
  <c r="A6" i="10"/>
  <c r="C6" i="10" s="1"/>
  <c r="I13" i="1"/>
  <c r="N13" i="1" s="1" a="1"/>
  <c r="N13" i="1" s="1"/>
  <c r="AN18" i="3"/>
  <c r="AA3" i="1"/>
  <c r="AB3" i="1" s="1"/>
  <c r="AA4" i="1"/>
  <c r="AC4" i="1" s="1" a="1"/>
  <c r="AC4" i="1" s="1"/>
  <c r="AO36" i="3"/>
  <c r="Q34" i="4" s="1"/>
  <c r="AA5" i="1"/>
  <c r="AC5" i="1" s="1" a="1"/>
  <c r="AC5" i="1" s="1"/>
  <c r="AO37" i="3"/>
  <c r="AN37" i="3"/>
  <c r="A32" i="10"/>
  <c r="F32" i="10" s="1"/>
  <c r="A33" i="10"/>
  <c r="B33" i="10" s="1"/>
  <c r="A31" i="10"/>
  <c r="C31" i="10" s="1" a="1"/>
  <c r="C31" i="10" s="1"/>
  <c r="J3" i="2"/>
  <c r="A5" i="10" s="1"/>
  <c r="C5" i="10" s="1"/>
  <c r="A10" i="7"/>
  <c r="C10" i="7" s="1" a="1"/>
  <c r="C10" i="7" s="1"/>
  <c r="G10" i="7" s="1" a="1"/>
  <c r="G10" i="7" s="1"/>
  <c r="A14" i="1"/>
  <c r="A9" i="7"/>
  <c r="C9" i="7" s="1" a="1"/>
  <c r="C9" i="7" s="1"/>
  <c r="G9" i="7" s="1" a="1"/>
  <c r="G9" i="7" s="1"/>
  <c r="A8" i="7"/>
  <c r="C8" i="7" s="1" a="1"/>
  <c r="C8" i="7" s="1"/>
  <c r="G8" i="7" s="1" a="1"/>
  <c r="G8" i="7" s="1"/>
  <c r="A7" i="7"/>
  <c r="B7" i="7" s="1"/>
  <c r="A12" i="1"/>
  <c r="V5" i="1" s="1"/>
  <c r="A6" i="7"/>
  <c r="C6" i="7" s="1" a="1"/>
  <c r="C6" i="7" s="1"/>
  <c r="G6" i="7" s="1" a="1"/>
  <c r="G6" i="7" s="1"/>
  <c r="H26" i="10"/>
  <c r="I26" i="10" s="1" a="1"/>
  <c r="I26" i="10" s="1"/>
  <c r="H25" i="10"/>
  <c r="I25" i="10" s="1" a="1"/>
  <c r="I25" i="10" s="1"/>
  <c r="A11" i="7"/>
  <c r="A12" i="7"/>
  <c r="A26" i="7"/>
  <c r="G26" i="7" s="1"/>
  <c r="L3" i="2"/>
  <c r="A24" i="10" s="1"/>
  <c r="A34" i="7"/>
  <c r="G34" i="7" s="1"/>
  <c r="A33" i="7"/>
  <c r="B33" i="7" s="1"/>
  <c r="A32" i="7"/>
  <c r="B32" i="7" s="1"/>
  <c r="A31" i="7"/>
  <c r="G31" i="7" s="1"/>
  <c r="A30" i="7"/>
  <c r="G30" i="7" s="1"/>
  <c r="A29" i="7"/>
  <c r="A28" i="10"/>
  <c r="C28" i="10" s="1" a="1"/>
  <c r="C28" i="10" s="1"/>
  <c r="A27" i="7"/>
  <c r="B27" i="7" s="1"/>
  <c r="A25" i="10"/>
  <c r="F25" i="10" s="1"/>
  <c r="A28" i="7"/>
  <c r="A7" i="10"/>
  <c r="E7" i="10" s="1" a="1"/>
  <c r="E7" i="10" s="1"/>
  <c r="A26" i="10"/>
  <c r="F26" i="10" s="1"/>
  <c r="A27" i="10"/>
  <c r="B27" i="10" s="1"/>
  <c r="A10" i="1"/>
  <c r="B10" i="1" s="1"/>
  <c r="W3" i="1" s="1"/>
  <c r="A29" i="10"/>
  <c r="F29" i="10" s="1"/>
  <c r="A11" i="1"/>
  <c r="A19" i="7"/>
  <c r="C19" i="7" s="1" a="1"/>
  <c r="C19" i="7" s="1"/>
  <c r="I10" i="1"/>
  <c r="AA6" i="1"/>
  <c r="AC6" i="1" s="1" a="1"/>
  <c r="AC6" i="1" s="1"/>
  <c r="I14" i="1"/>
  <c r="A14" i="10"/>
  <c r="B14" i="10" s="1"/>
  <c r="AA7" i="1"/>
  <c r="AC7" i="1" s="1" a="1"/>
  <c r="AC7" i="1" s="1"/>
  <c r="A15" i="10"/>
  <c r="C15" i="10" s="1" a="1"/>
  <c r="C15" i="10" s="1"/>
  <c r="AA8" i="1"/>
  <c r="AC8" i="1" s="1" a="1"/>
  <c r="AC8" i="1" s="1"/>
  <c r="A16" i="10"/>
  <c r="B16" i="10" s="1"/>
  <c r="AA9" i="1"/>
  <c r="A17" i="10"/>
  <c r="B17" i="10" s="1"/>
  <c r="AO10" i="3"/>
  <c r="K11" i="1" a="1"/>
  <c r="K11" i="1" s="1"/>
  <c r="AC3" i="1" a="1"/>
  <c r="AC3" i="1" s="1"/>
  <c r="AB2" i="1"/>
  <c r="B30" i="10"/>
  <c r="C30" i="10" a="1"/>
  <c r="C30" i="10" s="1"/>
  <c r="T20" i="3"/>
  <c r="AG8" i="1"/>
  <c r="AF8" i="1"/>
  <c r="AG7" i="1"/>
  <c r="AF7" i="1"/>
  <c r="AG3" i="1"/>
  <c r="AF3" i="1"/>
  <c r="AG2" i="1"/>
  <c r="AF2" i="1"/>
  <c r="F33" i="1"/>
  <c r="R22" i="3"/>
  <c r="R27" i="3"/>
  <c r="R4" i="3"/>
  <c r="R16" i="3"/>
  <c r="R9" i="3"/>
  <c r="R23" i="3"/>
  <c r="R33" i="3"/>
  <c r="AN33" i="3" s="1"/>
  <c r="R10" i="3"/>
  <c r="R31" i="3"/>
  <c r="R26" i="3"/>
  <c r="R24" i="3"/>
  <c r="R25" i="3"/>
  <c r="R34" i="3"/>
  <c r="AN34" i="3" s="1"/>
  <c r="R15" i="3"/>
  <c r="R28" i="3"/>
  <c r="AN28" i="3" s="1"/>
  <c r="R5" i="3"/>
  <c r="R6" i="3"/>
  <c r="R12" i="3"/>
  <c r="R11" i="3"/>
  <c r="R29" i="3"/>
  <c r="R21" i="3"/>
  <c r="R37" i="3"/>
  <c r="R14" i="3"/>
  <c r="R8" i="3"/>
  <c r="R18" i="3"/>
  <c r="R35" i="3"/>
  <c r="R7" i="3"/>
  <c r="R30" i="3"/>
  <c r="R32" i="3"/>
  <c r="AN32" i="3" s="1"/>
  <c r="R36" i="3"/>
  <c r="AN36" i="3" s="1"/>
  <c r="R17" i="3"/>
  <c r="R19" i="3"/>
  <c r="R13" i="3"/>
  <c r="R20" i="3"/>
  <c r="T24" i="3"/>
  <c r="W24" i="3" s="1"/>
  <c r="U25" i="3"/>
  <c r="U34" i="3"/>
  <c r="U15" i="3"/>
  <c r="U28" i="3"/>
  <c r="T5" i="3"/>
  <c r="X5" i="3" s="1"/>
  <c r="T21" i="3"/>
  <c r="W21" i="3" s="1"/>
  <c r="T37" i="3"/>
  <c r="W37" i="3" s="1"/>
  <c r="T14" i="3"/>
  <c r="W14" i="3" s="1"/>
  <c r="T8" i="3"/>
  <c r="W8" i="3" s="1"/>
  <c r="T18" i="3"/>
  <c r="W18" i="3" s="1"/>
  <c r="T35" i="3"/>
  <c r="X35" i="3" s="1"/>
  <c r="U7" i="3"/>
  <c r="U30" i="3"/>
  <c r="U32" i="3"/>
  <c r="T36" i="3"/>
  <c r="W36" i="3" s="1"/>
  <c r="T17" i="3"/>
  <c r="W17" i="3" s="1"/>
  <c r="T19" i="3"/>
  <c r="W19" i="3" s="1"/>
  <c r="U35" i="3"/>
  <c r="U18" i="3"/>
  <c r="U8" i="3"/>
  <c r="U14" i="3"/>
  <c r="U37" i="3"/>
  <c r="U21" i="3"/>
  <c r="U29" i="3"/>
  <c r="U11" i="3"/>
  <c r="U12" i="3"/>
  <c r="U31" i="3"/>
  <c r="U10" i="3"/>
  <c r="U33" i="3"/>
  <c r="U23" i="3"/>
  <c r="U9" i="3"/>
  <c r="U16" i="3"/>
  <c r="U4" i="3"/>
  <c r="U27" i="3"/>
  <c r="T22" i="3"/>
  <c r="T27" i="3"/>
  <c r="T6" i="3"/>
  <c r="W6" i="3" s="1"/>
  <c r="T12" i="3"/>
  <c r="W12" i="3" s="1"/>
  <c r="T32" i="3"/>
  <c r="W32" i="3" s="1"/>
  <c r="T13" i="3"/>
  <c r="W13" i="3" s="1"/>
  <c r="T4" i="3"/>
  <c r="T16" i="3"/>
  <c r="T9" i="3"/>
  <c r="T23" i="3"/>
  <c r="T33" i="3"/>
  <c r="T10" i="3"/>
  <c r="T31" i="3"/>
  <c r="T26" i="3"/>
  <c r="W26" i="3" s="1"/>
  <c r="T11" i="3"/>
  <c r="W11" i="3" s="1"/>
  <c r="T29" i="3"/>
  <c r="W29" i="3" s="1"/>
  <c r="U22" i="3"/>
  <c r="U26" i="3"/>
  <c r="U6" i="3"/>
  <c r="U13" i="3"/>
  <c r="U20" i="3"/>
  <c r="AP32" i="3" l="1"/>
  <c r="E13" i="1"/>
  <c r="B13" i="1"/>
  <c r="C13" i="1" s="1"/>
  <c r="G13" i="1" a="1"/>
  <c r="G13" i="1" s="1"/>
  <c r="P34" i="4"/>
  <c r="AP36" i="3"/>
  <c r="F33" i="10"/>
  <c r="C32" i="10" a="1"/>
  <c r="C32" i="10" s="1"/>
  <c r="B20" i="7"/>
  <c r="D20" i="7" s="1"/>
  <c r="P33" i="4"/>
  <c r="AB5" i="1"/>
  <c r="B68" i="7"/>
  <c r="B18" i="7"/>
  <c r="E18" i="7" s="1"/>
  <c r="G33" i="7"/>
  <c r="B9" i="7"/>
  <c r="E9" i="7" s="1"/>
  <c r="B30" i="7"/>
  <c r="B6" i="7"/>
  <c r="D6" i="7" s="1"/>
  <c r="B17" i="7"/>
  <c r="E17" i="7" s="1"/>
  <c r="C32" i="7" a="1"/>
  <c r="C32" i="7" s="1"/>
  <c r="E32" i="7" s="1"/>
  <c r="B8" i="7"/>
  <c r="D8" i="7" s="1"/>
  <c r="C7" i="7" a="1"/>
  <c r="C7" i="7" s="1"/>
  <c r="G7" i="7" s="1" a="1"/>
  <c r="G7" i="7" s="1"/>
  <c r="C26" i="7" a="1"/>
  <c r="C26" i="7" s="1"/>
  <c r="C30" i="7" a="1"/>
  <c r="C30" i="7" s="1"/>
  <c r="B15" i="10"/>
  <c r="B18" i="10" s="1"/>
  <c r="C33" i="10" a="1"/>
  <c r="C33" i="10" s="1"/>
  <c r="E33" i="10" s="1"/>
  <c r="F27" i="10"/>
  <c r="C27" i="10" a="1"/>
  <c r="C27" i="10" s="1"/>
  <c r="E27" i="10" s="1"/>
  <c r="B32" i="10"/>
  <c r="E32" i="10" s="1"/>
  <c r="C16" i="10" a="1"/>
  <c r="C16" i="10" s="1"/>
  <c r="E16" i="10" s="1"/>
  <c r="C7" i="10"/>
  <c r="E5" i="10" a="1"/>
  <c r="E5" i="10" s="1"/>
  <c r="C17" i="10" a="1"/>
  <c r="C17" i="10" s="1"/>
  <c r="D17" i="10" s="1"/>
  <c r="B28" i="10"/>
  <c r="D28" i="10" s="1"/>
  <c r="F28" i="10"/>
  <c r="C29" i="10" a="1"/>
  <c r="C29" i="10" s="1"/>
  <c r="B7" i="10"/>
  <c r="J9" i="1"/>
  <c r="M9" i="1" s="1"/>
  <c r="AB4" i="1"/>
  <c r="J13" i="1"/>
  <c r="K13" i="1" s="1"/>
  <c r="M13" i="1"/>
  <c r="B19" i="7"/>
  <c r="D19" i="7" s="1"/>
  <c r="AB7" i="1"/>
  <c r="B6" i="10"/>
  <c r="D6" i="10" s="1"/>
  <c r="E6" i="10" a="1"/>
  <c r="E6" i="10" s="1"/>
  <c r="C31" i="7" a="1"/>
  <c r="C31" i="7" s="1"/>
  <c r="AB8" i="1"/>
  <c r="AP28" i="3"/>
  <c r="A5" i="7"/>
  <c r="C5" i="7" s="1" a="1"/>
  <c r="C5" i="7" s="1"/>
  <c r="G5" i="7" s="1" a="1"/>
  <c r="G5" i="7" s="1"/>
  <c r="B10" i="7"/>
  <c r="D10" i="7" s="1"/>
  <c r="AB6" i="1"/>
  <c r="A9" i="1"/>
  <c r="B25" i="10"/>
  <c r="C14" i="10" a="1"/>
  <c r="C14" i="10" s="1"/>
  <c r="E14" i="10" s="1"/>
  <c r="C25" i="10" a="1"/>
  <c r="C25" i="10" s="1"/>
  <c r="B26" i="7"/>
  <c r="O13" i="1" a="1"/>
  <c r="O13" i="1" s="1"/>
  <c r="L13" i="1"/>
  <c r="K12" i="1" a="1"/>
  <c r="K12" i="1" s="1"/>
  <c r="J12" i="1"/>
  <c r="C33" i="7" a="1"/>
  <c r="C33" i="7" s="1"/>
  <c r="E33" i="7" s="1"/>
  <c r="G32" i="7"/>
  <c r="B5" i="10"/>
  <c r="D5" i="10" s="1"/>
  <c r="V6" i="1"/>
  <c r="W6" i="1"/>
  <c r="X6" i="1"/>
  <c r="F13" i="1" a="1"/>
  <c r="F13" i="1" s="1"/>
  <c r="AG35" i="3"/>
  <c r="AM35" i="3"/>
  <c r="AH35" i="3"/>
  <c r="D17" i="7"/>
  <c r="F24" i="10"/>
  <c r="C24" i="10" a="1"/>
  <c r="C24" i="10" s="1"/>
  <c r="B24" i="10"/>
  <c r="AC9" i="1" a="1"/>
  <c r="AC9" i="1" s="1"/>
  <c r="AB9" i="1"/>
  <c r="J10" i="1"/>
  <c r="K10" i="1" a="1"/>
  <c r="K10" i="1" s="1"/>
  <c r="H29" i="4"/>
  <c r="E29" i="6"/>
  <c r="E13" i="6"/>
  <c r="H13" i="4"/>
  <c r="H28" i="4"/>
  <c r="E28" i="6"/>
  <c r="H12" i="4"/>
  <c r="E12" i="6"/>
  <c r="H30" i="4"/>
  <c r="E30" i="6"/>
  <c r="E14" i="6"/>
  <c r="H14" i="4"/>
  <c r="H27" i="4"/>
  <c r="E27" i="6"/>
  <c r="E11" i="6"/>
  <c r="H11" i="4"/>
  <c r="AP33" i="3"/>
  <c r="R33" i="4" s="1"/>
  <c r="B34" i="7"/>
  <c r="C11" i="1" a="1"/>
  <c r="C11" i="1" s="1"/>
  <c r="X4" i="1" s="1"/>
  <c r="V4" i="1"/>
  <c r="B11" i="1"/>
  <c r="W4" i="1" s="1"/>
  <c r="E26" i="6"/>
  <c r="H26" i="4"/>
  <c r="E10" i="6"/>
  <c r="H10" i="4"/>
  <c r="C10" i="1" a="1"/>
  <c r="C10" i="1" s="1"/>
  <c r="X3" i="1" s="1"/>
  <c r="V3" i="1"/>
  <c r="AP37" i="3"/>
  <c r="C12" i="7" a="1"/>
  <c r="C12" i="7" s="1"/>
  <c r="G12" i="7" s="1" a="1"/>
  <c r="G12" i="7" s="1"/>
  <c r="B12" i="7"/>
  <c r="E12" i="7" s="1"/>
  <c r="B12" i="1"/>
  <c r="C12" i="1" s="1"/>
  <c r="D12" i="1" s="1"/>
  <c r="F12" i="1" a="1"/>
  <c r="F12" i="1" s="1"/>
  <c r="W5" i="1"/>
  <c r="X5" i="1"/>
  <c r="G12" i="1" a="1"/>
  <c r="G12" i="1" s="1"/>
  <c r="E12" i="1"/>
  <c r="AP18" i="3"/>
  <c r="H24" i="4"/>
  <c r="E24" i="6"/>
  <c r="H8" i="4"/>
  <c r="E8" i="6"/>
  <c r="B31" i="10"/>
  <c r="D31" i="10" s="1"/>
  <c r="AN10" i="3"/>
  <c r="C27" i="7" a="1"/>
  <c r="C27" i="7" s="1"/>
  <c r="E27" i="7" s="1"/>
  <c r="G27" i="7"/>
  <c r="G29" i="7"/>
  <c r="B29" i="7"/>
  <c r="C29" i="7" a="1"/>
  <c r="C29" i="7" s="1"/>
  <c r="A25" i="7"/>
  <c r="E25" i="6"/>
  <c r="H25" i="4"/>
  <c r="H23" i="4"/>
  <c r="E23" i="6"/>
  <c r="E7" i="6"/>
  <c r="H7" i="4"/>
  <c r="C26" i="10" a="1"/>
  <c r="C26" i="10" s="1"/>
  <c r="H4" i="4"/>
  <c r="E4" i="6"/>
  <c r="E22" i="6"/>
  <c r="H22" i="4"/>
  <c r="H6" i="4"/>
  <c r="E6" i="6"/>
  <c r="B26" i="10"/>
  <c r="H31" i="4"/>
  <c r="E31" i="6"/>
  <c r="H15" i="4"/>
  <c r="E15" i="6"/>
  <c r="E37" i="6"/>
  <c r="H37" i="4"/>
  <c r="E21" i="6"/>
  <c r="H21" i="4"/>
  <c r="H5" i="4"/>
  <c r="E5" i="6"/>
  <c r="J14" i="1"/>
  <c r="O14" i="1" a="1"/>
  <c r="O14" i="1" s="1"/>
  <c r="M14" i="1"/>
  <c r="L14" i="1"/>
  <c r="N14" i="1" a="1"/>
  <c r="N14" i="1" s="1"/>
  <c r="C21" i="7"/>
  <c r="G14" i="1" a="1"/>
  <c r="G14" i="1" s="1"/>
  <c r="B14" i="1"/>
  <c r="C14" i="1" s="1"/>
  <c r="D14" i="1"/>
  <c r="F14" i="1" a="1"/>
  <c r="F14" i="1" s="1"/>
  <c r="E14" i="1"/>
  <c r="W7" i="1"/>
  <c r="V7" i="1"/>
  <c r="X7" i="1"/>
  <c r="H18" i="4"/>
  <c r="E18" i="6"/>
  <c r="G28" i="7"/>
  <c r="C28" i="7" a="1"/>
  <c r="C28" i="7" s="1"/>
  <c r="B28" i="7"/>
  <c r="C11" i="7" a="1"/>
  <c r="C11" i="7" s="1"/>
  <c r="G11" i="7" s="1" a="1"/>
  <c r="G11" i="7" s="1"/>
  <c r="B11" i="7"/>
  <c r="E11" i="7" s="1"/>
  <c r="H32" i="4"/>
  <c r="E32" i="6"/>
  <c r="E16" i="6"/>
  <c r="H16" i="4"/>
  <c r="H9" i="4"/>
  <c r="E9" i="6"/>
  <c r="H36" i="4"/>
  <c r="E36" i="6"/>
  <c r="H20" i="4"/>
  <c r="E20" i="6"/>
  <c r="E35" i="6"/>
  <c r="H35" i="4"/>
  <c r="E19" i="6"/>
  <c r="H19" i="4"/>
  <c r="F31" i="10"/>
  <c r="H34" i="4"/>
  <c r="E34" i="6"/>
  <c r="B31" i="7"/>
  <c r="H33" i="4"/>
  <c r="E33" i="6"/>
  <c r="H17" i="4"/>
  <c r="AP34" i="3"/>
  <c r="E17" i="6"/>
  <c r="B29" i="10"/>
  <c r="C34" i="7" a="1"/>
  <c r="C34" i="7" s="1"/>
  <c r="H24" i="10"/>
  <c r="I24" i="10" s="1" a="1"/>
  <c r="I24" i="10" s="1"/>
  <c r="AP10" i="3"/>
  <c r="AH5" i="3"/>
  <c r="AG5" i="3"/>
  <c r="AM5" i="3"/>
  <c r="W10" i="3"/>
  <c r="W33" i="3"/>
  <c r="X23" i="3"/>
  <c r="W9" i="3"/>
  <c r="W16" i="3"/>
  <c r="W4" i="3"/>
  <c r="W27" i="3"/>
  <c r="W31" i="3"/>
  <c r="W22" i="3"/>
  <c r="H26" i="7"/>
  <c r="B9" i="8"/>
  <c r="B10" i="8"/>
  <c r="H33" i="1"/>
  <c r="C6" i="8"/>
  <c r="X20" i="3"/>
  <c r="G20" i="4" s="1"/>
  <c r="W23" i="3"/>
  <c r="W35" i="3"/>
  <c r="W5" i="3"/>
  <c r="X19" i="3"/>
  <c r="X17" i="3"/>
  <c r="X26" i="3"/>
  <c r="X24" i="3"/>
  <c r="W20" i="3"/>
  <c r="X31" i="3"/>
  <c r="X32" i="3"/>
  <c r="X10" i="3"/>
  <c r="X33" i="3"/>
  <c r="X36" i="3"/>
  <c r="X37" i="3"/>
  <c r="X21" i="3"/>
  <c r="X9" i="3"/>
  <c r="X29" i="3"/>
  <c r="X16" i="3"/>
  <c r="X11" i="3"/>
  <c r="X4" i="3"/>
  <c r="X18" i="3"/>
  <c r="X8" i="3"/>
  <c r="X14" i="3"/>
  <c r="X12" i="3"/>
  <c r="X27" i="3"/>
  <c r="X13" i="3"/>
  <c r="X6" i="3"/>
  <c r="X22" i="3"/>
  <c r="M18" i="1"/>
  <c r="M19" i="1"/>
  <c r="E17" i="1"/>
  <c r="E18" i="1"/>
  <c r="L18" i="1"/>
  <c r="M11" i="1"/>
  <c r="D17" i="1"/>
  <c r="L19" i="1"/>
  <c r="C4" i="1"/>
  <c r="G33" i="1" s="1"/>
  <c r="D4" i="1"/>
  <c r="B5" i="8" s="1"/>
  <c r="D5" i="8" s="1"/>
  <c r="D18" i="1"/>
  <c r="J7" i="10"/>
  <c r="I7" i="10"/>
  <c r="K6" i="10"/>
  <c r="K5" i="10"/>
  <c r="D30" i="10"/>
  <c r="E30" i="10"/>
  <c r="L11" i="1"/>
  <c r="D32" i="7"/>
  <c r="B60" i="7"/>
  <c r="E8" i="7"/>
  <c r="T28" i="3"/>
  <c r="T15" i="3"/>
  <c r="T30" i="3"/>
  <c r="T34" i="3"/>
  <c r="H27" i="7" s="1"/>
  <c r="U24" i="3"/>
  <c r="U36" i="3"/>
  <c r="U17" i="3"/>
  <c r="U5" i="3"/>
  <c r="U19" i="3"/>
  <c r="T7" i="3"/>
  <c r="T25" i="3"/>
  <c r="E26" i="7" l="1"/>
  <c r="D18" i="7"/>
  <c r="D21" i="7" s="1"/>
  <c r="D16" i="10"/>
  <c r="D9" i="7"/>
  <c r="H28" i="7"/>
  <c r="H33" i="7"/>
  <c r="E30" i="7"/>
  <c r="D34" i="7"/>
  <c r="D7" i="10"/>
  <c r="F7" i="10" s="1"/>
  <c r="D20" i="6"/>
  <c r="R34" i="4"/>
  <c r="E28" i="10"/>
  <c r="D32" i="10"/>
  <c r="D27" i="10"/>
  <c r="D15" i="10"/>
  <c r="E20" i="7"/>
  <c r="E6" i="7"/>
  <c r="D33" i="10"/>
  <c r="E15" i="10"/>
  <c r="E7" i="7"/>
  <c r="D30" i="7"/>
  <c r="D7" i="7"/>
  <c r="D26" i="7"/>
  <c r="E19" i="7"/>
  <c r="E28" i="7"/>
  <c r="M10" i="1"/>
  <c r="B14" i="8"/>
  <c r="D31" i="7"/>
  <c r="E29" i="10"/>
  <c r="E24" i="10"/>
  <c r="I27" i="10"/>
  <c r="E17" i="10"/>
  <c r="E31" i="10"/>
  <c r="D14" i="10"/>
  <c r="E25" i="10"/>
  <c r="C8" i="10"/>
  <c r="L9" i="1"/>
  <c r="L10" i="1"/>
  <c r="C18" i="10"/>
  <c r="E18" i="10" s="1"/>
  <c r="D25" i="10"/>
  <c r="D33" i="7"/>
  <c r="F6" i="10"/>
  <c r="E10" i="1"/>
  <c r="E29" i="7"/>
  <c r="E31" i="7"/>
  <c r="F34" i="10"/>
  <c r="C14" i="8"/>
  <c r="L12" i="1"/>
  <c r="M12" i="1"/>
  <c r="E10" i="7"/>
  <c r="E34" i="7"/>
  <c r="B5" i="7"/>
  <c r="E5" i="7" s="1"/>
  <c r="B8" i="10"/>
  <c r="E8" i="10"/>
  <c r="D29" i="7"/>
  <c r="D10" i="1"/>
  <c r="B34" i="10"/>
  <c r="C13" i="8"/>
  <c r="B9" i="1"/>
  <c r="C9" i="1" a="1"/>
  <c r="C9" i="1" s="1"/>
  <c r="V2" i="1"/>
  <c r="H18" i="7" a="1"/>
  <c r="H18" i="7" s="1"/>
  <c r="G13" i="4"/>
  <c r="AM31" i="3"/>
  <c r="AH31" i="3"/>
  <c r="AG31" i="3"/>
  <c r="C34" i="10"/>
  <c r="G27" i="4"/>
  <c r="AH14" i="3"/>
  <c r="AG14" i="3"/>
  <c r="AM14" i="3"/>
  <c r="AM24" i="3"/>
  <c r="AH24" i="3"/>
  <c r="AG24" i="3"/>
  <c r="D11" i="7"/>
  <c r="G29" i="4"/>
  <c r="AG18" i="3"/>
  <c r="AQ18" i="3"/>
  <c r="AH18" i="3"/>
  <c r="D28" i="7"/>
  <c r="E26" i="10"/>
  <c r="AH4" i="3"/>
  <c r="AG4" i="3"/>
  <c r="AM4" i="3"/>
  <c r="D12" i="7"/>
  <c r="G4" i="4"/>
  <c r="AH20" i="3"/>
  <c r="AG20" i="3"/>
  <c r="F20" i="6" s="1"/>
  <c r="AM20" i="3"/>
  <c r="O20" i="4" s="1"/>
  <c r="D24" i="10"/>
  <c r="D26" i="10"/>
  <c r="D27" i="7"/>
  <c r="AH36" i="3"/>
  <c r="AQ36" i="3"/>
  <c r="AG36" i="3"/>
  <c r="AO35" i="3"/>
  <c r="AN35" i="3"/>
  <c r="G14" i="4"/>
  <c r="AM26" i="3"/>
  <c r="O26" i="4" s="1"/>
  <c r="AH26" i="3"/>
  <c r="AG26" i="3"/>
  <c r="G24" i="4"/>
  <c r="AM29" i="3"/>
  <c r="O29" i="4" s="1"/>
  <c r="AH29" i="3"/>
  <c r="AG29" i="3"/>
  <c r="G26" i="4"/>
  <c r="AH37" i="3"/>
  <c r="AG37" i="3"/>
  <c r="AQ37" i="3"/>
  <c r="AI35" i="3"/>
  <c r="AJ35" i="3"/>
  <c r="AM8" i="3"/>
  <c r="AH8" i="3"/>
  <c r="AG8" i="3"/>
  <c r="G5" i="4"/>
  <c r="AG22" i="3"/>
  <c r="AH22" i="3"/>
  <c r="AM22" i="3"/>
  <c r="G11" i="4"/>
  <c r="AH33" i="3"/>
  <c r="AG33" i="3"/>
  <c r="AQ33" i="3"/>
  <c r="G21" i="4"/>
  <c r="AM6" i="3"/>
  <c r="AH6" i="3"/>
  <c r="AG6" i="3"/>
  <c r="G33" i="4"/>
  <c r="AH32" i="3"/>
  <c r="AG32" i="3"/>
  <c r="AQ32" i="3"/>
  <c r="D11" i="1"/>
  <c r="G25" i="7"/>
  <c r="G35" i="7" s="1"/>
  <c r="C25" i="7" a="1"/>
  <c r="C25" i="7" s="1"/>
  <c r="C35" i="7" s="1"/>
  <c r="B25" i="7"/>
  <c r="B21" i="7"/>
  <c r="E21" i="7" s="1"/>
  <c r="E11" i="1"/>
  <c r="B61" i="7" a="1"/>
  <c r="B61" i="7" s="1"/>
  <c r="C13" i="7"/>
  <c r="D29" i="10"/>
  <c r="G23" i="4"/>
  <c r="AH11" i="3"/>
  <c r="AG11" i="3"/>
  <c r="AM11" i="3"/>
  <c r="O11" i="4" s="1"/>
  <c r="D23" i="6"/>
  <c r="AM23" i="3"/>
  <c r="G10" i="4"/>
  <c r="AH23" i="3"/>
  <c r="AG23" i="3"/>
  <c r="D10" i="6"/>
  <c r="G12" i="4"/>
  <c r="AH10" i="3"/>
  <c r="AQ10" i="3"/>
  <c r="D12" i="6"/>
  <c r="AG10" i="3"/>
  <c r="AH13" i="3"/>
  <c r="D37" i="6"/>
  <c r="AG13" i="3"/>
  <c r="G37" i="4"/>
  <c r="AM13" i="3"/>
  <c r="AH21" i="3"/>
  <c r="AG21" i="3"/>
  <c r="AM21" i="3"/>
  <c r="G6" i="4"/>
  <c r="AH27" i="3"/>
  <c r="AG27" i="3"/>
  <c r="D6" i="6"/>
  <c r="AM27" i="3"/>
  <c r="AO5" i="3"/>
  <c r="AN5" i="3"/>
  <c r="AJ5" i="3"/>
  <c r="AI5" i="3"/>
  <c r="I20" i="4"/>
  <c r="AH12" i="3"/>
  <c r="D22" i="6"/>
  <c r="AG12" i="3"/>
  <c r="AM12" i="3"/>
  <c r="O12" i="4" s="1"/>
  <c r="G22" i="4"/>
  <c r="G35" i="4"/>
  <c r="AH17" i="3"/>
  <c r="AM17" i="3"/>
  <c r="O17" i="4" s="1"/>
  <c r="AG17" i="3"/>
  <c r="D35" i="6"/>
  <c r="AH19" i="3"/>
  <c r="AG19" i="3"/>
  <c r="D36" i="6"/>
  <c r="G36" i="4"/>
  <c r="AM19" i="3"/>
  <c r="O19" i="4" s="1"/>
  <c r="J20" i="4"/>
  <c r="G20" i="6"/>
  <c r="AH16" i="3"/>
  <c r="D8" i="6"/>
  <c r="G8" i="4"/>
  <c r="AM16" i="3"/>
  <c r="AG16" i="3"/>
  <c r="AH9" i="3"/>
  <c r="D9" i="6"/>
  <c r="G9" i="4"/>
  <c r="AM9" i="3"/>
  <c r="AG9" i="3"/>
  <c r="H20" i="7" a="1"/>
  <c r="H20" i="7" s="1"/>
  <c r="H19" i="7" a="1"/>
  <c r="H19" i="7" s="1"/>
  <c r="H29" i="7"/>
  <c r="H17" i="7" a="1"/>
  <c r="H17" i="7" s="1"/>
  <c r="H34" i="7"/>
  <c r="H31" i="7"/>
  <c r="H30" i="7"/>
  <c r="H32" i="7"/>
  <c r="H25" i="7"/>
  <c r="D33" i="6"/>
  <c r="B6" i="8" a="1"/>
  <c r="B6" i="8" s="1"/>
  <c r="D6" i="8" s="1"/>
  <c r="D29" i="6"/>
  <c r="D27" i="6"/>
  <c r="D26" i="6"/>
  <c r="D24" i="6"/>
  <c r="D21" i="6"/>
  <c r="D14" i="6"/>
  <c r="D13" i="6"/>
  <c r="D11" i="6"/>
  <c r="D5" i="6"/>
  <c r="D4" i="6"/>
  <c r="D12" i="8"/>
  <c r="C12" i="8" a="1"/>
  <c r="C12" i="8" s="1"/>
  <c r="C11" i="8" a="1"/>
  <c r="C11" i="8" s="1"/>
  <c r="B11" i="8" a="1"/>
  <c r="B11" i="8" s="1"/>
  <c r="D11" i="8" s="1"/>
  <c r="B8" i="8" a="1"/>
  <c r="B8" i="8" s="1"/>
  <c r="C8" i="8" s="1"/>
  <c r="B63" i="7" a="1"/>
  <c r="B63" i="7" s="1"/>
  <c r="C43" i="7" a="1"/>
  <c r="C43" i="7" s="1"/>
  <c r="C52" i="7" a="1"/>
  <c r="C52" i="7" s="1"/>
  <c r="B52" i="7"/>
  <c r="C51" i="7" a="1"/>
  <c r="C51" i="7" s="1"/>
  <c r="B51" i="7"/>
  <c r="C50" i="7" a="1"/>
  <c r="C50" i="7" s="1"/>
  <c r="B50" i="7"/>
  <c r="C49" i="7" a="1"/>
  <c r="C49" i="7" s="1"/>
  <c r="B49" i="7"/>
  <c r="C48" i="7" a="1"/>
  <c r="C48" i="7" s="1"/>
  <c r="B48" i="7"/>
  <c r="C41" i="7" a="1"/>
  <c r="C41" i="7" s="1"/>
  <c r="B43" i="7"/>
  <c r="C42" i="7" a="1"/>
  <c r="C42" i="7" s="1"/>
  <c r="B42" i="7"/>
  <c r="B39" i="7"/>
  <c r="B41" i="7"/>
  <c r="C40" i="7" a="1"/>
  <c r="C40" i="7" s="1"/>
  <c r="B40" i="7"/>
  <c r="C39" i="7" a="1"/>
  <c r="C39" i="7" s="1"/>
  <c r="H7" i="7" a="1"/>
  <c r="H7" i="7" s="1"/>
  <c r="H12" i="7" a="1"/>
  <c r="H12" i="7" s="1"/>
  <c r="H11" i="7" a="1"/>
  <c r="H11" i="7" s="1"/>
  <c r="H6" i="7" a="1"/>
  <c r="H6" i="7" s="1"/>
  <c r="H10" i="7" a="1"/>
  <c r="H10" i="7" s="1"/>
  <c r="H9" i="7" a="1"/>
  <c r="H9" i="7" s="1"/>
  <c r="H8" i="7" a="1"/>
  <c r="H8" i="7" s="1"/>
  <c r="H5" i="7" a="1"/>
  <c r="H5" i="7" s="1"/>
  <c r="I16" i="10"/>
  <c r="J18" i="10" a="1"/>
  <c r="J18" i="10" s="1"/>
  <c r="J17" i="10" a="1"/>
  <c r="J17" i="10" s="1"/>
  <c r="J16" i="10" a="1"/>
  <c r="J16" i="10" s="1"/>
  <c r="J15" i="10" a="1"/>
  <c r="J15" i="10" s="1"/>
  <c r="J14" i="10" a="1"/>
  <c r="J14" i="10" s="1"/>
  <c r="I18" i="10"/>
  <c r="I17" i="10"/>
  <c r="I14" i="10"/>
  <c r="I15" i="10"/>
  <c r="K27" i="1" a="1"/>
  <c r="K27" i="1" s="1"/>
  <c r="M27" i="1" a="1"/>
  <c r="M27" i="1" s="1"/>
  <c r="L27" i="1" a="1"/>
  <c r="L27" i="1" s="1"/>
  <c r="AC15" i="1" s="1"/>
  <c r="M26" i="1" a="1"/>
  <c r="M26" i="1" s="1"/>
  <c r="J27" i="1" a="1"/>
  <c r="J27" i="1" s="1"/>
  <c r="AB15" i="1" s="1"/>
  <c r="M25" i="1" a="1"/>
  <c r="M25" i="1" s="1"/>
  <c r="L26" i="1" a="1"/>
  <c r="L26" i="1" s="1"/>
  <c r="K26" i="1" a="1"/>
  <c r="K26" i="1" s="1"/>
  <c r="J26" i="1" a="1"/>
  <c r="J26" i="1" s="1"/>
  <c r="K25" i="1" a="1"/>
  <c r="K25" i="1" s="1"/>
  <c r="L25" i="1" a="1"/>
  <c r="L25" i="1" s="1"/>
  <c r="AC11" i="1" s="1"/>
  <c r="L24" i="1" a="1"/>
  <c r="L24" i="1" s="1"/>
  <c r="AC10" i="1" s="1"/>
  <c r="J25" i="1" a="1"/>
  <c r="J25" i="1" s="1"/>
  <c r="AB11" i="1" s="1"/>
  <c r="M24" i="1" a="1"/>
  <c r="M24" i="1" s="1"/>
  <c r="J24" i="1" a="1"/>
  <c r="J24" i="1" s="1"/>
  <c r="AB10" i="1" s="1"/>
  <c r="K24" i="1" a="1"/>
  <c r="K24" i="1" s="1"/>
  <c r="L23" i="1" a="1"/>
  <c r="L23" i="1" s="1"/>
  <c r="M23" i="1" a="1"/>
  <c r="M23" i="1" s="1"/>
  <c r="J23" i="1" a="1"/>
  <c r="J23" i="1" s="1"/>
  <c r="K23" i="1" a="1"/>
  <c r="K23" i="1" s="1"/>
  <c r="W30" i="3"/>
  <c r="X30" i="3"/>
  <c r="W34" i="3"/>
  <c r="X34" i="3"/>
  <c r="G34" i="4" s="1"/>
  <c r="W15" i="3"/>
  <c r="X15" i="3"/>
  <c r="D15" i="6" s="1"/>
  <c r="W25" i="3"/>
  <c r="X25" i="3"/>
  <c r="D25" i="6" s="1"/>
  <c r="W28" i="3"/>
  <c r="X28" i="3"/>
  <c r="D28" i="6" s="1"/>
  <c r="W7" i="3"/>
  <c r="X7" i="3"/>
  <c r="D7" i="6" s="1"/>
  <c r="N18" i="1"/>
  <c r="K7" i="10"/>
  <c r="F18" i="1"/>
  <c r="F17" i="1"/>
  <c r="N19" i="1"/>
  <c r="F5" i="10"/>
  <c r="D14" i="8" l="1"/>
  <c r="D8" i="10"/>
  <c r="F8" i="10" s="1"/>
  <c r="S33" i="4"/>
  <c r="G7" i="4"/>
  <c r="D18" i="10"/>
  <c r="G25" i="4"/>
  <c r="G15" i="4"/>
  <c r="D34" i="6"/>
  <c r="D30" i="6"/>
  <c r="G30" i="4"/>
  <c r="G28" i="4"/>
  <c r="D5" i="7"/>
  <c r="D13" i="7" s="1"/>
  <c r="B13" i="7"/>
  <c r="E13" i="7"/>
  <c r="E34" i="10"/>
  <c r="D34" i="10"/>
  <c r="B13" i="8" a="1"/>
  <c r="B13" i="8" s="1"/>
  <c r="D13" i="8" s="1"/>
  <c r="X2" i="1"/>
  <c r="W2" i="1"/>
  <c r="D9" i="1"/>
  <c r="E9" i="1"/>
  <c r="J4" i="4"/>
  <c r="G4" i="6"/>
  <c r="I11" i="4"/>
  <c r="AJ33" i="3"/>
  <c r="F11" i="6"/>
  <c r="AI33" i="3"/>
  <c r="J11" i="4"/>
  <c r="G11" i="6"/>
  <c r="AP35" i="3"/>
  <c r="AN24" i="3"/>
  <c r="AO24" i="3"/>
  <c r="I26" i="4"/>
  <c r="F26" i="6"/>
  <c r="AI37" i="3"/>
  <c r="AJ37" i="3"/>
  <c r="AJ36" i="3"/>
  <c r="AI36" i="3"/>
  <c r="AO4" i="3"/>
  <c r="AN4" i="3"/>
  <c r="O5" i="4"/>
  <c r="AO22" i="3"/>
  <c r="AN22" i="3"/>
  <c r="G26" i="6"/>
  <c r="J26" i="4"/>
  <c r="AO14" i="3"/>
  <c r="AN14" i="3"/>
  <c r="O27" i="4"/>
  <c r="AJ22" i="3"/>
  <c r="G5" i="6"/>
  <c r="J5" i="4"/>
  <c r="AJ4" i="3"/>
  <c r="AI4" i="3"/>
  <c r="I27" i="4"/>
  <c r="AI14" i="3"/>
  <c r="AJ14" i="3"/>
  <c r="F27" i="6"/>
  <c r="I5" i="4"/>
  <c r="F5" i="6"/>
  <c r="AI22" i="3"/>
  <c r="F24" i="6"/>
  <c r="AI29" i="3"/>
  <c r="I24" i="4"/>
  <c r="AJ29" i="3"/>
  <c r="J27" i="4"/>
  <c r="G27" i="6"/>
  <c r="I33" i="4"/>
  <c r="F33" i="6"/>
  <c r="AI32" i="3"/>
  <c r="J24" i="4"/>
  <c r="G24" i="6"/>
  <c r="G31" i="4"/>
  <c r="AG7" i="3"/>
  <c r="I7" i="4" s="1"/>
  <c r="AM7" i="3"/>
  <c r="O7" i="4" s="1"/>
  <c r="AH7" i="3"/>
  <c r="G7" i="6" s="1"/>
  <c r="AJ32" i="3"/>
  <c r="G33" i="6"/>
  <c r="J33" i="4"/>
  <c r="AJ8" i="3"/>
  <c r="AI8" i="3"/>
  <c r="O24" i="4"/>
  <c r="AO29" i="3"/>
  <c r="Q29" i="4" s="1"/>
  <c r="AN29" i="3"/>
  <c r="P29" i="4" s="1"/>
  <c r="J29" i="4"/>
  <c r="G29" i="6"/>
  <c r="AJ31" i="3"/>
  <c r="I13" i="4"/>
  <c r="F13" i="6"/>
  <c r="AI31" i="3"/>
  <c r="O28" i="4"/>
  <c r="AO8" i="3"/>
  <c r="AN8" i="3"/>
  <c r="G13" i="6"/>
  <c r="J13" i="4"/>
  <c r="G17" i="4"/>
  <c r="AH34" i="3"/>
  <c r="G34" i="6" s="1"/>
  <c r="AQ34" i="3"/>
  <c r="S34" i="4" s="1"/>
  <c r="AG34" i="3"/>
  <c r="F34" i="6" s="1"/>
  <c r="AI6" i="3"/>
  <c r="F21" i="6"/>
  <c r="AJ6" i="3"/>
  <c r="I21" i="4"/>
  <c r="AJ26" i="3"/>
  <c r="I14" i="4"/>
  <c r="F14" i="6"/>
  <c r="AI26" i="3"/>
  <c r="AO20" i="3"/>
  <c r="Q20" i="4" s="1"/>
  <c r="AN20" i="3"/>
  <c r="P20" i="4" s="1"/>
  <c r="O4" i="4"/>
  <c r="I29" i="4"/>
  <c r="F29" i="6"/>
  <c r="AI18" i="3"/>
  <c r="AJ18" i="3"/>
  <c r="J21" i="4"/>
  <c r="G21" i="6"/>
  <c r="G14" i="6"/>
  <c r="J14" i="4"/>
  <c r="O13" i="4"/>
  <c r="AO31" i="3"/>
  <c r="AN31" i="3"/>
  <c r="AJ24" i="3"/>
  <c r="AI24" i="3"/>
  <c r="G32" i="4"/>
  <c r="AH30" i="3"/>
  <c r="AG30" i="3"/>
  <c r="AM30" i="3"/>
  <c r="O30" i="4" s="1"/>
  <c r="O21" i="4"/>
  <c r="AN6" i="3"/>
  <c r="AO6" i="3"/>
  <c r="AK35" i="3"/>
  <c r="O14" i="4"/>
  <c r="AO26" i="3"/>
  <c r="Q26" i="4" s="1"/>
  <c r="AN26" i="3"/>
  <c r="P26" i="4" s="1"/>
  <c r="AJ20" i="3"/>
  <c r="L20" i="4" s="1"/>
  <c r="AI20" i="3"/>
  <c r="I20" i="6" s="1"/>
  <c r="F4" i="6"/>
  <c r="I4" i="4"/>
  <c r="B35" i="7"/>
  <c r="E35" i="7" s="1"/>
  <c r="E25" i="7"/>
  <c r="D25" i="7"/>
  <c r="D35" i="7" s="1"/>
  <c r="J8" i="4"/>
  <c r="G8" i="6"/>
  <c r="G6" i="6"/>
  <c r="J6" i="4"/>
  <c r="G16" i="4"/>
  <c r="AH25" i="3"/>
  <c r="J25" i="4" s="1"/>
  <c r="D16" i="6"/>
  <c r="AG25" i="3"/>
  <c r="F25" i="6" s="1"/>
  <c r="AM25" i="3"/>
  <c r="O25" i="4" s="1"/>
  <c r="O22" i="4"/>
  <c r="AO12" i="3"/>
  <c r="Q12" i="4" s="1"/>
  <c r="AN12" i="3"/>
  <c r="P12" i="4" s="1"/>
  <c r="F22" i="6"/>
  <c r="AJ12" i="3"/>
  <c r="AI12" i="3"/>
  <c r="I22" i="4"/>
  <c r="J12" i="4"/>
  <c r="G12" i="6"/>
  <c r="O36" i="4"/>
  <c r="AO19" i="3"/>
  <c r="Q19" i="4" s="1"/>
  <c r="AN19" i="3"/>
  <c r="P19" i="4" s="1"/>
  <c r="G22" i="6"/>
  <c r="J22" i="4"/>
  <c r="AN21" i="3"/>
  <c r="AO21" i="3"/>
  <c r="AJ23" i="3"/>
  <c r="I10" i="4"/>
  <c r="AI23" i="3"/>
  <c r="F10" i="6"/>
  <c r="J36" i="4"/>
  <c r="G36" i="6"/>
  <c r="AK5" i="3"/>
  <c r="J10" i="4"/>
  <c r="G10" i="6"/>
  <c r="O37" i="4"/>
  <c r="AN13" i="3"/>
  <c r="AO13" i="3"/>
  <c r="O10" i="4"/>
  <c r="AN23" i="3"/>
  <c r="AO23" i="3"/>
  <c r="AJ21" i="3"/>
  <c r="AI21" i="3"/>
  <c r="AJ19" i="3"/>
  <c r="AI19" i="3"/>
  <c r="F36" i="6"/>
  <c r="I36" i="4"/>
  <c r="G9" i="6"/>
  <c r="J9" i="4"/>
  <c r="AI17" i="3"/>
  <c r="F35" i="6"/>
  <c r="AJ17" i="3"/>
  <c r="I35" i="4"/>
  <c r="AJ13" i="3"/>
  <c r="F37" i="6"/>
  <c r="AI13" i="3"/>
  <c r="I37" i="4"/>
  <c r="AO11" i="3"/>
  <c r="Q11" i="4" s="1"/>
  <c r="O23" i="4"/>
  <c r="AN11" i="3"/>
  <c r="P11" i="4" s="1"/>
  <c r="AJ16" i="3"/>
  <c r="AI16" i="3"/>
  <c r="I8" i="4"/>
  <c r="F8" i="6"/>
  <c r="AO17" i="3"/>
  <c r="Q17" i="4" s="1"/>
  <c r="AN17" i="3"/>
  <c r="P17" i="4" s="1"/>
  <c r="O35" i="4"/>
  <c r="AP5" i="3"/>
  <c r="AI11" i="3"/>
  <c r="AJ11" i="3"/>
  <c r="I23" i="4"/>
  <c r="F23" i="6"/>
  <c r="O9" i="4"/>
  <c r="AO9" i="3"/>
  <c r="AN9" i="3"/>
  <c r="O8" i="4"/>
  <c r="AO16" i="3"/>
  <c r="AN16" i="3"/>
  <c r="G35" i="6"/>
  <c r="J35" i="4"/>
  <c r="AO27" i="3"/>
  <c r="O6" i="4"/>
  <c r="AN27" i="3"/>
  <c r="J23" i="4"/>
  <c r="G23" i="6"/>
  <c r="AJ9" i="3"/>
  <c r="F9" i="6"/>
  <c r="I9" i="4"/>
  <c r="AI9" i="3"/>
  <c r="G37" i="6"/>
  <c r="J37" i="4"/>
  <c r="AH15" i="3"/>
  <c r="G15" i="6" s="1"/>
  <c r="D18" i="6"/>
  <c r="AG15" i="3"/>
  <c r="F15" i="6" s="1"/>
  <c r="AM15" i="3"/>
  <c r="O15" i="4" s="1"/>
  <c r="G18" i="4"/>
  <c r="AQ28" i="3"/>
  <c r="AG28" i="3"/>
  <c r="F28" i="6" s="1"/>
  <c r="AH28" i="3"/>
  <c r="J28" i="4" s="1"/>
  <c r="G19" i="4"/>
  <c r="D19" i="6"/>
  <c r="AJ27" i="3"/>
  <c r="AI27" i="3"/>
  <c r="F6" i="6"/>
  <c r="I6" i="4"/>
  <c r="AJ10" i="3"/>
  <c r="AI10" i="3"/>
  <c r="I12" i="4"/>
  <c r="F12" i="6"/>
  <c r="H35" i="7"/>
  <c r="H21" i="7"/>
  <c r="D32" i="6"/>
  <c r="D31" i="6"/>
  <c r="D17" i="6"/>
  <c r="D8" i="8"/>
  <c r="B7" i="8"/>
  <c r="J19" i="10"/>
  <c r="K14" i="10"/>
  <c r="I19" i="10"/>
  <c r="K18" i="10"/>
  <c r="K17" i="10"/>
  <c r="K16" i="10"/>
  <c r="K15" i="10"/>
  <c r="O27" i="1"/>
  <c r="N26" i="1"/>
  <c r="N27" i="1"/>
  <c r="O26" i="1"/>
  <c r="N25" i="1"/>
  <c r="O25" i="1"/>
  <c r="O24" i="1"/>
  <c r="N24" i="1"/>
  <c r="O23" i="1"/>
  <c r="N23" i="1"/>
  <c r="D52" i="7"/>
  <c r="D51" i="7"/>
  <c r="D49" i="7"/>
  <c r="D48" i="7"/>
  <c r="D50" i="7"/>
  <c r="D43" i="7"/>
  <c r="D40" i="7"/>
  <c r="D42" i="7"/>
  <c r="D41" i="7"/>
  <c r="D39" i="7"/>
  <c r="H13" i="7" a="1"/>
  <c r="H13" i="7" s="1"/>
  <c r="J7" i="4" l="1"/>
  <c r="F7" i="6"/>
  <c r="J15" i="4"/>
  <c r="I15" i="4"/>
  <c r="I34" i="4"/>
  <c r="I28" i="4"/>
  <c r="J34" i="4"/>
  <c r="K20" i="4"/>
  <c r="G25" i="6"/>
  <c r="G28" i="6"/>
  <c r="I25" i="4"/>
  <c r="F30" i="6"/>
  <c r="I30" i="4"/>
  <c r="J30" i="4"/>
  <c r="G30" i="6"/>
  <c r="Q24" i="4"/>
  <c r="AP29" i="3"/>
  <c r="K33" i="4"/>
  <c r="I33" i="6"/>
  <c r="P5" i="4"/>
  <c r="G17" i="6"/>
  <c r="J17" i="4"/>
  <c r="Q5" i="4"/>
  <c r="AP22" i="3"/>
  <c r="R5" i="4" s="1"/>
  <c r="I4" i="6"/>
  <c r="K4" i="4"/>
  <c r="AK4" i="3"/>
  <c r="Q4" i="4"/>
  <c r="AP20" i="3"/>
  <c r="AQ20" i="3" s="1"/>
  <c r="AP4" i="3"/>
  <c r="AQ4" i="3" s="1"/>
  <c r="Q13" i="4"/>
  <c r="AP31" i="3"/>
  <c r="J31" i="4"/>
  <c r="G31" i="6"/>
  <c r="K11" i="4"/>
  <c r="I11" i="6"/>
  <c r="O31" i="4"/>
  <c r="AO7" i="3"/>
  <c r="Q7" i="4" s="1"/>
  <c r="AN7" i="3"/>
  <c r="P7" i="4" s="1"/>
  <c r="AK22" i="3"/>
  <c r="M5" i="4" s="1"/>
  <c r="L5" i="4"/>
  <c r="AK37" i="3"/>
  <c r="L26" i="4"/>
  <c r="P24" i="4"/>
  <c r="P28" i="4"/>
  <c r="P14" i="4"/>
  <c r="AK8" i="3"/>
  <c r="Q14" i="4"/>
  <c r="AP26" i="3"/>
  <c r="AK29" i="3"/>
  <c r="L24" i="4"/>
  <c r="K29" i="4"/>
  <c r="I29" i="6"/>
  <c r="I14" i="6"/>
  <c r="K14" i="4"/>
  <c r="I13" i="6"/>
  <c r="K13" i="4"/>
  <c r="P13" i="4"/>
  <c r="I24" i="6"/>
  <c r="K24" i="4"/>
  <c r="AK36" i="3"/>
  <c r="AK26" i="3"/>
  <c r="AL26" i="3" s="1"/>
  <c r="L14" i="4"/>
  <c r="AK32" i="3"/>
  <c r="L33" i="4"/>
  <c r="K5" i="4"/>
  <c r="I5" i="6"/>
  <c r="P21" i="4"/>
  <c r="P4" i="4"/>
  <c r="G32" i="6"/>
  <c r="J32" i="4"/>
  <c r="AK20" i="3"/>
  <c r="L4" i="4"/>
  <c r="AL20" i="3"/>
  <c r="AK24" i="3"/>
  <c r="Q28" i="4"/>
  <c r="AP8" i="3"/>
  <c r="R28" i="4" s="1"/>
  <c r="AQ35" i="3"/>
  <c r="AL35" i="3"/>
  <c r="Q21" i="4"/>
  <c r="AP6" i="3"/>
  <c r="AK31" i="3"/>
  <c r="L13" i="4"/>
  <c r="AK6" i="3"/>
  <c r="L21" i="4"/>
  <c r="K26" i="4"/>
  <c r="I26" i="6"/>
  <c r="L11" i="4"/>
  <c r="AK33" i="3"/>
  <c r="AO30" i="3"/>
  <c r="Q30" i="4" s="1"/>
  <c r="O32" i="4"/>
  <c r="AN30" i="3"/>
  <c r="P30" i="4" s="1"/>
  <c r="K21" i="4"/>
  <c r="I21" i="6"/>
  <c r="AI7" i="3"/>
  <c r="F31" i="6"/>
  <c r="AJ7" i="3"/>
  <c r="L7" i="4" s="1"/>
  <c r="I31" i="4"/>
  <c r="P27" i="4"/>
  <c r="AQ14" i="3"/>
  <c r="AI34" i="3"/>
  <c r="K34" i="4" s="1"/>
  <c r="AJ34" i="3"/>
  <c r="L34" i="4" s="1"/>
  <c r="F17" i="6"/>
  <c r="I17" i="4"/>
  <c r="L27" i="4"/>
  <c r="AK14" i="3"/>
  <c r="Q27" i="4"/>
  <c r="AP14" i="3"/>
  <c r="F32" i="6"/>
  <c r="AJ30" i="3"/>
  <c r="L30" i="4" s="1"/>
  <c r="AI30" i="3"/>
  <c r="I32" i="4"/>
  <c r="L29" i="4"/>
  <c r="AK18" i="3"/>
  <c r="K27" i="4"/>
  <c r="I27" i="6"/>
  <c r="AP24" i="3"/>
  <c r="AQ5" i="3"/>
  <c r="AP27" i="3"/>
  <c r="AQ27" i="3" s="1"/>
  <c r="Q6" i="4"/>
  <c r="P10" i="4"/>
  <c r="P22" i="4"/>
  <c r="F18" i="6"/>
  <c r="AI15" i="3"/>
  <c r="I15" i="6" s="1"/>
  <c r="I18" i="4"/>
  <c r="AJ15" i="3"/>
  <c r="L15" i="4" s="1"/>
  <c r="AK23" i="3"/>
  <c r="L10" i="4"/>
  <c r="Q22" i="4"/>
  <c r="AP12" i="3"/>
  <c r="K12" i="4"/>
  <c r="I12" i="6"/>
  <c r="P35" i="4"/>
  <c r="AK17" i="3"/>
  <c r="M35" i="4" s="1"/>
  <c r="L35" i="4"/>
  <c r="AP13" i="3"/>
  <c r="R37" i="4" s="1"/>
  <c r="Q37" i="4"/>
  <c r="AP21" i="3"/>
  <c r="J18" i="4"/>
  <c r="G18" i="6"/>
  <c r="P8" i="4"/>
  <c r="AP17" i="3"/>
  <c r="Q35" i="4"/>
  <c r="P37" i="4"/>
  <c r="O18" i="4"/>
  <c r="AO15" i="3"/>
  <c r="Q15" i="4" s="1"/>
  <c r="AN15" i="3"/>
  <c r="P15" i="4" s="1"/>
  <c r="AK10" i="3"/>
  <c r="L12" i="4"/>
  <c r="Q8" i="4"/>
  <c r="AP16" i="3"/>
  <c r="I35" i="6"/>
  <c r="K35" i="4"/>
  <c r="AO25" i="3"/>
  <c r="Q25" i="4" s="1"/>
  <c r="AN25" i="3"/>
  <c r="P25" i="4" s="1"/>
  <c r="O16" i="4"/>
  <c r="J16" i="4"/>
  <c r="G16" i="6"/>
  <c r="AJ25" i="3"/>
  <c r="L25" i="4" s="1"/>
  <c r="I16" i="4"/>
  <c r="AI25" i="3"/>
  <c r="I25" i="6" s="1"/>
  <c r="F16" i="6"/>
  <c r="I40" i="4"/>
  <c r="I9" i="6"/>
  <c r="K9" i="4"/>
  <c r="L9" i="4"/>
  <c r="AK9" i="3"/>
  <c r="M9" i="4" s="1"/>
  <c r="AP11" i="3"/>
  <c r="Q23" i="4"/>
  <c r="L36" i="4"/>
  <c r="AK19" i="3"/>
  <c r="AL5" i="3"/>
  <c r="G40" i="6"/>
  <c r="Q10" i="4"/>
  <c r="AP23" i="3"/>
  <c r="R10" i="4" s="1"/>
  <c r="B79" i="7"/>
  <c r="P23" i="4"/>
  <c r="F40" i="6"/>
  <c r="I6" i="6"/>
  <c r="K6" i="4"/>
  <c r="J19" i="4"/>
  <c r="G19" i="6"/>
  <c r="I37" i="6"/>
  <c r="K37" i="4"/>
  <c r="J40" i="4"/>
  <c r="K10" i="4"/>
  <c r="I10" i="6"/>
  <c r="P9" i="4"/>
  <c r="AP19" i="3"/>
  <c r="Q36" i="4"/>
  <c r="AP9" i="3"/>
  <c r="R9" i="4" s="1"/>
  <c r="Q9" i="4"/>
  <c r="AI28" i="3"/>
  <c r="I19" i="4"/>
  <c r="F19" i="6"/>
  <c r="AJ28" i="3"/>
  <c r="L28" i="4" s="1"/>
  <c r="P6" i="4"/>
  <c r="L23" i="4"/>
  <c r="AK11" i="3"/>
  <c r="M23" i="4" s="1"/>
  <c r="K22" i="4"/>
  <c r="I22" i="6"/>
  <c r="K8" i="4"/>
  <c r="I8" i="6"/>
  <c r="AK16" i="3"/>
  <c r="L8" i="4"/>
  <c r="P36" i="4"/>
  <c r="AK27" i="3"/>
  <c r="AL27" i="3" s="1"/>
  <c r="L6" i="4"/>
  <c r="K36" i="4"/>
  <c r="I36" i="6"/>
  <c r="K23" i="4"/>
  <c r="I23" i="6"/>
  <c r="L37" i="4"/>
  <c r="AK13" i="3"/>
  <c r="AK21" i="3"/>
  <c r="AK12" i="3"/>
  <c r="AL12" i="3" s="1"/>
  <c r="L22" i="4"/>
  <c r="C7" i="8"/>
  <c r="D7" i="8" a="1"/>
  <c r="D7" i="8" s="1"/>
  <c r="K19" i="10"/>
  <c r="B82" i="7"/>
  <c r="V22" i="3"/>
  <c r="V27" i="3"/>
  <c r="V4" i="3"/>
  <c r="V16" i="3"/>
  <c r="V9" i="3"/>
  <c r="V23" i="3"/>
  <c r="V33" i="3"/>
  <c r="V10" i="3"/>
  <c r="V31" i="3"/>
  <c r="V26" i="3"/>
  <c r="V24" i="3"/>
  <c r="V25" i="3"/>
  <c r="V34" i="3"/>
  <c r="V15" i="3"/>
  <c r="V28" i="3"/>
  <c r="V5" i="3"/>
  <c r="V6" i="3"/>
  <c r="V12" i="3"/>
  <c r="V11" i="3"/>
  <c r="V29" i="3"/>
  <c r="V21" i="3"/>
  <c r="V37" i="3"/>
  <c r="V14" i="3"/>
  <c r="V8" i="3"/>
  <c r="V18" i="3"/>
  <c r="V35" i="3"/>
  <c r="V7" i="3"/>
  <c r="V30" i="3"/>
  <c r="V32" i="3"/>
  <c r="V36" i="3"/>
  <c r="V17" i="3"/>
  <c r="V19" i="3"/>
  <c r="V13" i="3"/>
  <c r="V20" i="3"/>
  <c r="I28" i="6" l="1"/>
  <c r="K28" i="4"/>
  <c r="I7" i="6"/>
  <c r="K7" i="4"/>
  <c r="R8" i="4"/>
  <c r="AQ8" i="3"/>
  <c r="S28" i="4" s="1"/>
  <c r="M12" i="4"/>
  <c r="R27" i="4"/>
  <c r="I34" i="6"/>
  <c r="M36" i="4"/>
  <c r="M26" i="4"/>
  <c r="M27" i="4"/>
  <c r="K25" i="4"/>
  <c r="S4" i="4"/>
  <c r="R24" i="4"/>
  <c r="R29" i="4"/>
  <c r="R23" i="4"/>
  <c r="R11" i="4"/>
  <c r="M11" i="4"/>
  <c r="S20" i="4"/>
  <c r="M24" i="4"/>
  <c r="M29" i="4"/>
  <c r="M13" i="4"/>
  <c r="M4" i="4"/>
  <c r="M20" i="4"/>
  <c r="M33" i="4"/>
  <c r="M21" i="4"/>
  <c r="R21" i="4"/>
  <c r="K15" i="4"/>
  <c r="S27" i="4"/>
  <c r="R13" i="4"/>
  <c r="M8" i="4"/>
  <c r="R36" i="4"/>
  <c r="R19" i="4"/>
  <c r="R35" i="4"/>
  <c r="R17" i="4"/>
  <c r="M10" i="4"/>
  <c r="M37" i="4"/>
  <c r="R14" i="4"/>
  <c r="R26" i="4"/>
  <c r="M14" i="4"/>
  <c r="R22" i="4"/>
  <c r="R12" i="4"/>
  <c r="M22" i="4"/>
  <c r="K30" i="4"/>
  <c r="I30" i="6"/>
  <c r="R4" i="4"/>
  <c r="R20" i="4"/>
  <c r="AL4" i="3"/>
  <c r="N4" i="4" s="1"/>
  <c r="AL11" i="3"/>
  <c r="N11" i="4" s="1"/>
  <c r="AL8" i="3"/>
  <c r="AQ26" i="3"/>
  <c r="AL33" i="3"/>
  <c r="AR33" i="3" s="1"/>
  <c r="AL32" i="3"/>
  <c r="N33" i="4" s="1"/>
  <c r="AL22" i="3"/>
  <c r="AL29" i="3"/>
  <c r="K4" i="1" a="1"/>
  <c r="K4" i="1" s="1"/>
  <c r="AQ31" i="3"/>
  <c r="AQ6" i="3"/>
  <c r="S6" i="4" s="1"/>
  <c r="L17" i="4"/>
  <c r="AK34" i="3"/>
  <c r="M17" i="4" s="1"/>
  <c r="P32" i="4"/>
  <c r="AL14" i="3"/>
  <c r="N14" i="4" s="1"/>
  <c r="AL6" i="3"/>
  <c r="N6" i="4" s="1"/>
  <c r="AL24" i="3"/>
  <c r="N24" i="4" s="1"/>
  <c r="AQ29" i="3"/>
  <c r="K17" i="4"/>
  <c r="I17" i="6"/>
  <c r="AL18" i="3"/>
  <c r="P31" i="4"/>
  <c r="AR35" i="3"/>
  <c r="AL37" i="3"/>
  <c r="N37" i="4" s="1"/>
  <c r="AQ24" i="3"/>
  <c r="AL19" i="3"/>
  <c r="AK7" i="3"/>
  <c r="M31" i="4" s="1"/>
  <c r="L31" i="4"/>
  <c r="AL31" i="3"/>
  <c r="AQ22" i="3"/>
  <c r="S5" i="4" s="1"/>
  <c r="K31" i="4"/>
  <c r="I31" i="6"/>
  <c r="N5" i="4"/>
  <c r="Q32" i="4"/>
  <c r="AP30" i="3"/>
  <c r="I32" i="6"/>
  <c r="K32" i="4"/>
  <c r="AR20" i="3"/>
  <c r="AK30" i="3"/>
  <c r="L32" i="4"/>
  <c r="AL36" i="3"/>
  <c r="Q31" i="4"/>
  <c r="AP7" i="3"/>
  <c r="R31" i="4" s="1"/>
  <c r="C18" i="5"/>
  <c r="G34" i="1" a="1"/>
  <c r="G34" i="1" s="1"/>
  <c r="F34" i="1"/>
  <c r="B66" i="7" a="1"/>
  <c r="B66" i="7" s="1"/>
  <c r="C8" i="5"/>
  <c r="G18" i="1" a="1"/>
  <c r="G18" i="1" s="1"/>
  <c r="F4" i="1" a="1"/>
  <c r="F4" i="1" s="1"/>
  <c r="G4" i="1" a="1"/>
  <c r="G4" i="1" s="1"/>
  <c r="G35" i="1" s="1"/>
  <c r="G17" i="1" a="1"/>
  <c r="G17" i="1" s="1"/>
  <c r="G9" i="1" a="1"/>
  <c r="G9" i="1" s="1"/>
  <c r="N12" i="1" a="1"/>
  <c r="N12" i="1" s="1"/>
  <c r="O18" i="1" a="1"/>
  <c r="O18" i="1" s="1"/>
  <c r="N9" i="1" a="1"/>
  <c r="N9" i="1" s="1"/>
  <c r="C9" i="5" a="1"/>
  <c r="C9" i="5" s="1"/>
  <c r="O12" i="1" a="1"/>
  <c r="O12" i="1" s="1"/>
  <c r="G17" i="7" a="1"/>
  <c r="G17" i="7" s="1"/>
  <c r="G11" i="1" a="1"/>
  <c r="G11" i="1" s="1"/>
  <c r="O9" i="1" a="1"/>
  <c r="O9" i="1" s="1"/>
  <c r="G20" i="7" a="1"/>
  <c r="G20" i="7" s="1"/>
  <c r="F11" i="1" a="1"/>
  <c r="F11" i="1" s="1"/>
  <c r="O11" i="1" a="1"/>
  <c r="O11" i="1" s="1"/>
  <c r="G19" i="7" a="1"/>
  <c r="G19" i="7" s="1"/>
  <c r="G18" i="7" a="1"/>
  <c r="G18" i="7" s="1"/>
  <c r="O19" i="1" a="1"/>
  <c r="O19" i="1" s="1"/>
  <c r="N11" i="1" a="1"/>
  <c r="N11" i="1" s="1"/>
  <c r="N10" i="1" a="1"/>
  <c r="N10" i="1" s="1"/>
  <c r="C19" i="5" a="1"/>
  <c r="C19" i="5" s="1"/>
  <c r="F9" i="1" a="1"/>
  <c r="F9" i="1" s="1"/>
  <c r="B67" i="7" a="1"/>
  <c r="B67" i="7" s="1"/>
  <c r="G10" i="1" a="1"/>
  <c r="G10" i="1" s="1"/>
  <c r="F10" i="1" a="1"/>
  <c r="F10" i="1" s="1"/>
  <c r="O10" i="1" a="1"/>
  <c r="O10" i="1" s="1"/>
  <c r="AL13" i="3"/>
  <c r="AL17" i="3"/>
  <c r="N35" i="4" s="1"/>
  <c r="B73" i="7"/>
  <c r="P40" i="4"/>
  <c r="AQ23" i="3"/>
  <c r="S10" i="4" s="1"/>
  <c r="AQ19" i="3"/>
  <c r="AQ16" i="3"/>
  <c r="S8" i="4" s="1"/>
  <c r="AL23" i="3"/>
  <c r="N23" i="4" s="1"/>
  <c r="AQ21" i="3"/>
  <c r="L40" i="4"/>
  <c r="AQ17" i="3"/>
  <c r="AQ9" i="3"/>
  <c r="S9" i="4" s="1"/>
  <c r="H40" i="6"/>
  <c r="AQ13" i="3"/>
  <c r="S37" i="4" s="1"/>
  <c r="N22" i="4"/>
  <c r="AP25" i="3"/>
  <c r="R16" i="4" s="1"/>
  <c r="Q16" i="4"/>
  <c r="AR5" i="3"/>
  <c r="N20" i="4"/>
  <c r="M6" i="4"/>
  <c r="AL21" i="3"/>
  <c r="AR27" i="3"/>
  <c r="L19" i="4"/>
  <c r="AK28" i="3"/>
  <c r="M19" i="4" s="1"/>
  <c r="AL16" i="3"/>
  <c r="AQ11" i="3"/>
  <c r="AL10" i="3"/>
  <c r="K18" i="4"/>
  <c r="I18" i="6"/>
  <c r="P18" i="4"/>
  <c r="AL9" i="3"/>
  <c r="K19" i="4"/>
  <c r="I19" i="6"/>
  <c r="L18" i="4"/>
  <c r="AK15" i="3"/>
  <c r="M18" i="4" s="1"/>
  <c r="K16" i="4"/>
  <c r="I16" i="6"/>
  <c r="AP15" i="3"/>
  <c r="R18" i="4" s="1"/>
  <c r="Q18" i="4"/>
  <c r="AQ12" i="3"/>
  <c r="Q40" i="4"/>
  <c r="L16" i="4"/>
  <c r="AK25" i="3"/>
  <c r="M16" i="4" s="1"/>
  <c r="P16" i="4"/>
  <c r="R6" i="4"/>
  <c r="H37" i="6"/>
  <c r="H23" i="6"/>
  <c r="H22" i="6"/>
  <c r="H36" i="6"/>
  <c r="H10" i="6"/>
  <c r="H16" i="6"/>
  <c r="H25" i="6"/>
  <c r="H21" i="6"/>
  <c r="H34" i="6"/>
  <c r="H30" i="6"/>
  <c r="H15" i="6"/>
  <c r="H33" i="6"/>
  <c r="H24" i="6"/>
  <c r="H26" i="6"/>
  <c r="H11" i="6"/>
  <c r="H28" i="6"/>
  <c r="H13" i="6"/>
  <c r="H27" i="6"/>
  <c r="H29" i="6"/>
  <c r="H14" i="6"/>
  <c r="H31" i="6"/>
  <c r="H32" i="6"/>
  <c r="C17" i="5"/>
  <c r="C26" i="5"/>
  <c r="C44" i="7"/>
  <c r="B44" i="7"/>
  <c r="H17" i="6"/>
  <c r="AQ7" i="3" l="1"/>
  <c r="S7" i="4" s="1"/>
  <c r="R25" i="4"/>
  <c r="M15" i="4"/>
  <c r="AR4" i="3"/>
  <c r="T4" i="4" s="1"/>
  <c r="M34" i="4"/>
  <c r="M25" i="4"/>
  <c r="S24" i="4"/>
  <c r="S29" i="4"/>
  <c r="M32" i="4"/>
  <c r="M30" i="4"/>
  <c r="M28" i="4"/>
  <c r="S21" i="4"/>
  <c r="M7" i="4"/>
  <c r="S36" i="4"/>
  <c r="S19" i="4"/>
  <c r="R32" i="4"/>
  <c r="R30" i="4"/>
  <c r="S22" i="4"/>
  <c r="S12" i="4"/>
  <c r="S35" i="4"/>
  <c r="S17" i="4"/>
  <c r="R7" i="4"/>
  <c r="T20" i="4"/>
  <c r="S31" i="4"/>
  <c r="S23" i="4"/>
  <c r="S11" i="4"/>
  <c r="N36" i="4"/>
  <c r="N10" i="4"/>
  <c r="AR8" i="3"/>
  <c r="R15" i="4"/>
  <c r="S14" i="4"/>
  <c r="S26" i="4"/>
  <c r="S13" i="4"/>
  <c r="AR29" i="3"/>
  <c r="AR26" i="3"/>
  <c r="AL34" i="3"/>
  <c r="N17" i="4" s="1"/>
  <c r="AL7" i="3"/>
  <c r="N7" i="4" s="1"/>
  <c r="AL30" i="3"/>
  <c r="N30" i="4" s="1"/>
  <c r="AR32" i="3"/>
  <c r="T33" i="4" s="1"/>
  <c r="N31" i="4"/>
  <c r="AR7" i="3"/>
  <c r="AR24" i="3"/>
  <c r="N21" i="4"/>
  <c r="AR6" i="3"/>
  <c r="N27" i="4"/>
  <c r="AR14" i="3"/>
  <c r="T27" i="4" s="1"/>
  <c r="N32" i="4"/>
  <c r="AL15" i="3"/>
  <c r="N18" i="4" s="1"/>
  <c r="N26" i="4"/>
  <c r="AR37" i="3"/>
  <c r="AQ30" i="3"/>
  <c r="G21" i="7"/>
  <c r="AR22" i="3"/>
  <c r="T5" i="4" s="1"/>
  <c r="AR36" i="3"/>
  <c r="N29" i="4"/>
  <c r="AR18" i="3"/>
  <c r="N13" i="4"/>
  <c r="AR31" i="3"/>
  <c r="AR19" i="3"/>
  <c r="T36" i="4" s="1"/>
  <c r="L4" i="1" a="1"/>
  <c r="L4" i="1" s="1"/>
  <c r="AR23" i="3"/>
  <c r="AQ15" i="3"/>
  <c r="S18" i="4" s="1"/>
  <c r="AR12" i="3"/>
  <c r="B74" i="7"/>
  <c r="AR11" i="3"/>
  <c r="T11" i="4" s="1"/>
  <c r="R40" i="4"/>
  <c r="AR17" i="3"/>
  <c r="T35" i="4" s="1"/>
  <c r="AQ25" i="3"/>
  <c r="S16" i="4" s="1"/>
  <c r="AR13" i="3"/>
  <c r="AR21" i="3"/>
  <c r="M40" i="4"/>
  <c r="N12" i="4"/>
  <c r="AR10" i="3"/>
  <c r="AR16" i="3"/>
  <c r="N8" i="4"/>
  <c r="AL28" i="3"/>
  <c r="N28" i="4" s="1"/>
  <c r="N9" i="4"/>
  <c r="AR9" i="3"/>
  <c r="T9" i="4" s="1"/>
  <c r="AL25" i="3"/>
  <c r="N25" i="4" s="1"/>
  <c r="H34" i="1"/>
  <c r="F35" i="1"/>
  <c r="H35" i="1" s="1"/>
  <c r="H4" i="1"/>
  <c r="C21" i="8" s="1"/>
  <c r="H18" i="6"/>
  <c r="H9" i="6"/>
  <c r="H12" i="6"/>
  <c r="H35" i="6"/>
  <c r="H19" i="6"/>
  <c r="H20" i="6"/>
  <c r="H8" i="6"/>
  <c r="H7" i="6"/>
  <c r="E42" i="7"/>
  <c r="E43" i="7"/>
  <c r="E40" i="7"/>
  <c r="E41" i="7"/>
  <c r="E39" i="7"/>
  <c r="C20" i="5"/>
  <c r="C27" i="5"/>
  <c r="C28" i="5"/>
  <c r="C10" i="5"/>
  <c r="D44" i="7"/>
  <c r="B53" i="7"/>
  <c r="C53" i="7"/>
  <c r="H5" i="6"/>
  <c r="H4" i="6"/>
  <c r="T10" i="4" l="1"/>
  <c r="T13" i="4"/>
  <c r="T21" i="4"/>
  <c r="T8" i="4"/>
  <c r="N34" i="4"/>
  <c r="T26" i="4"/>
  <c r="N15" i="4"/>
  <c r="T29" i="4"/>
  <c r="S15" i="4"/>
  <c r="T37" i="4"/>
  <c r="T12" i="4"/>
  <c r="T31" i="4"/>
  <c r="S25" i="4"/>
  <c r="S32" i="4"/>
  <c r="S30" i="4"/>
  <c r="T23" i="4"/>
  <c r="T14" i="4"/>
  <c r="T7" i="4"/>
  <c r="T6" i="4"/>
  <c r="T24" i="4"/>
  <c r="T22" i="4"/>
  <c r="AR34" i="3"/>
  <c r="T17" i="4" s="1"/>
  <c r="AR30" i="3"/>
  <c r="J4" i="1"/>
  <c r="AR15" i="3"/>
  <c r="T18" i="4" s="1"/>
  <c r="W18" i="1"/>
  <c r="S40" i="4"/>
  <c r="N19" i="4"/>
  <c r="AR28" i="3"/>
  <c r="T19" i="4" s="1"/>
  <c r="N16" i="4"/>
  <c r="AR25" i="3"/>
  <c r="T25" i="4" s="1"/>
  <c r="N40" i="4"/>
  <c r="B72" i="7"/>
  <c r="C22" i="8"/>
  <c r="D21" i="8"/>
  <c r="G41" i="1"/>
  <c r="G42" i="1"/>
  <c r="E51" i="7"/>
  <c r="E52" i="7"/>
  <c r="E49" i="7"/>
  <c r="E50" i="7"/>
  <c r="E48" i="7"/>
  <c r="F42" i="7"/>
  <c r="F43" i="7"/>
  <c r="F40" i="7"/>
  <c r="F41" i="7"/>
  <c r="F39" i="7"/>
  <c r="C29" i="5"/>
  <c r="E44" i="7"/>
  <c r="H6" i="6"/>
  <c r="D53" i="7"/>
  <c r="F52" i="7" s="1"/>
  <c r="T28" i="4" l="1"/>
  <c r="T34" i="4"/>
  <c r="T15" i="4"/>
  <c r="T32" i="4"/>
  <c r="T30" i="4"/>
  <c r="F17" i="10" a="1"/>
  <c r="F17" i="10" s="1"/>
  <c r="T40" i="4"/>
  <c r="F11" i="7" a="1"/>
  <c r="F11" i="7" s="1"/>
  <c r="D30" i="8" a="1"/>
  <c r="D30" i="8" s="1"/>
  <c r="F7" i="7" a="1"/>
  <c r="F7" i="7" s="1"/>
  <c r="B77" i="7"/>
  <c r="F34" i="7" a="1"/>
  <c r="F34" i="7" s="1"/>
  <c r="F12" i="7" a="1"/>
  <c r="F12" i="7" s="1"/>
  <c r="F9" i="7" a="1"/>
  <c r="F9" i="7" s="1"/>
  <c r="J24" i="10" a="1"/>
  <c r="J24" i="10" s="1"/>
  <c r="F25" i="7" a="1"/>
  <c r="F25" i="7" s="1"/>
  <c r="C29" i="8" a="1"/>
  <c r="C29" i="8" s="1"/>
  <c r="J25" i="10" a="1"/>
  <c r="J25" i="10" s="1"/>
  <c r="B75" i="7"/>
  <c r="B78" i="7"/>
  <c r="F19" i="7" a="1"/>
  <c r="F19" i="7" s="1"/>
  <c r="F28" i="7" a="1"/>
  <c r="F28" i="7" s="1"/>
  <c r="F14" i="10" a="1"/>
  <c r="F14" i="10" s="1"/>
  <c r="C31" i="5"/>
  <c r="F26" i="7" a="1"/>
  <c r="F26" i="7" s="1"/>
  <c r="T16" i="4"/>
  <c r="B30" i="8" a="1"/>
  <c r="B30" i="8" s="1"/>
  <c r="E29" i="8" a="1"/>
  <c r="E29" i="8" s="1"/>
  <c r="F17" i="7" a="1"/>
  <c r="F17" i="7" s="1"/>
  <c r="F31" i="7" a="1"/>
  <c r="F31" i="7" s="1"/>
  <c r="F18" i="7" a="1"/>
  <c r="F18" i="7" s="1"/>
  <c r="E32" i="8" a="1"/>
  <c r="E32" i="8" s="1"/>
  <c r="F10" i="7" a="1"/>
  <c r="F10" i="7" s="1"/>
  <c r="F29" i="7" a="1"/>
  <c r="F29" i="7" s="1"/>
  <c r="C32" i="8" a="1"/>
  <c r="C32" i="8" s="1"/>
  <c r="D29" i="8" a="1"/>
  <c r="D29" i="8" s="1"/>
  <c r="C31" i="8" a="1"/>
  <c r="C31" i="8" s="1"/>
  <c r="B29" i="8" a="1"/>
  <c r="B29" i="8" s="1"/>
  <c r="D31" i="8" a="1"/>
  <c r="D31" i="8" s="1"/>
  <c r="F16" i="10" a="1"/>
  <c r="F16" i="10" s="1"/>
  <c r="F30" i="7" a="1"/>
  <c r="F30" i="7" s="1"/>
  <c r="F6" i="7" a="1"/>
  <c r="F6" i="7" s="1"/>
  <c r="C30" i="8" a="1"/>
  <c r="C30" i="8" s="1"/>
  <c r="F5" i="7" a="1"/>
  <c r="F5" i="7" s="1"/>
  <c r="F20" i="7" a="1"/>
  <c r="F20" i="7" s="1"/>
  <c r="F33" i="7" a="1"/>
  <c r="F33" i="7" s="1"/>
  <c r="D32" i="8" a="1"/>
  <c r="D32" i="8" s="1"/>
  <c r="F32" i="7" a="1"/>
  <c r="F32" i="7" s="1"/>
  <c r="J26" i="10" a="1"/>
  <c r="J26" i="10" s="1"/>
  <c r="F8" i="7" a="1"/>
  <c r="F8" i="7" s="1"/>
  <c r="B31" i="8" a="1"/>
  <c r="B31" i="8" s="1"/>
  <c r="F15" i="10" a="1"/>
  <c r="F15" i="10" s="1"/>
  <c r="E31" i="8" a="1"/>
  <c r="E31" i="8" s="1"/>
  <c r="E30" i="8" a="1"/>
  <c r="E30" i="8" s="1"/>
  <c r="F27" i="7" a="1"/>
  <c r="F27" i="7" s="1"/>
  <c r="B32" i="8" a="1"/>
  <c r="B32" i="8" s="1"/>
  <c r="E21" i="8"/>
  <c r="D22" i="8"/>
  <c r="W16" i="1"/>
  <c r="W17" i="1"/>
  <c r="F50" i="7"/>
  <c r="F51" i="7"/>
  <c r="F48" i="7"/>
  <c r="F49" i="7"/>
  <c r="F44" i="7"/>
  <c r="E53" i="7"/>
  <c r="J27" i="10" l="1"/>
  <c r="K27" i="10" s="1"/>
  <c r="F35" i="7"/>
  <c r="F18" i="10"/>
  <c r="F21" i="7"/>
  <c r="W15" i="1"/>
  <c r="E22" i="8"/>
  <c r="F21" i="8"/>
  <c r="F53" i="7"/>
  <c r="M4" i="1" l="1"/>
  <c r="G36" i="1" s="1"/>
  <c r="G40" i="1"/>
  <c r="F31" i="8"/>
  <c r="F32" i="8"/>
  <c r="B33" i="8"/>
  <c r="D33" i="8"/>
  <c r="K26" i="10"/>
  <c r="K25" i="10"/>
  <c r="K24" i="10"/>
  <c r="N4" i="1" l="1"/>
  <c r="G37" i="1" s="1"/>
  <c r="B15" i="8"/>
  <c r="B20" i="8"/>
  <c r="B22" i="8" s="1"/>
  <c r="F30" i="8"/>
  <c r="E33" i="8"/>
  <c r="F29" i="8"/>
  <c r="C33" i="8"/>
  <c r="B76" i="7"/>
  <c r="B80" i="7"/>
  <c r="G13" i="7" a="1"/>
  <c r="G13" i="7" s="1"/>
  <c r="F13" i="7"/>
  <c r="C33" i="5"/>
  <c r="F20" i="8" l="1"/>
  <c r="B25" i="8"/>
  <c r="C25" i="8" s="1"/>
  <c r="F33" i="8"/>
  <c r="B23" i="8"/>
  <c r="F22" i="8"/>
  <c r="C23" i="8" l="1"/>
  <c r="H20" i="8"/>
  <c r="H21" i="8" l="1"/>
  <c r="D23" i="8"/>
  <c r="C24" i="8"/>
  <c r="H22" i="8" l="1"/>
  <c r="D24" i="8"/>
  <c r="E23" i="8"/>
  <c r="H23" i="8" l="1"/>
  <c r="E2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Didier Caron</author>
  </authors>
  <commentList>
    <comment ref="W3" authorId="0" shapeId="0" xr:uid="{F915B742-E7D8-485E-BFBB-591A807E4552}">
      <text>
        <r>
          <rPr>
            <sz val="9"/>
            <color indexed="81"/>
            <rFont val="Tahoma"/>
            <family val="2"/>
          </rPr>
          <t>Préavis en mois selon CCN IDCC 0016:
- Cadre: 3 mois (toute ancienneté)
- Haute maîtrise: 2 mois (toute ancienneté)
- Agent Maîtrise: &lt;2 ans=1 mois, ≥2 ans=2 mois
- Ouvrier &lt;6 mois: 1 semaine (0.25 mois)
- Ouvrier 6 mois-2 ans: 1 mois, ≥2 ans: 2 mois
- Employé &lt;1 mois: 0, 1 mois-2 ans: 1 mois, ≥2 ans: 2 mois
Source: Legifrance CCN Transports Routiers IDCC 0016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Didier Caron</author>
  </authors>
  <commentList>
    <comment ref="J4" authorId="0" shapeId="0" xr:uid="{641D4825-BCB1-4F0C-91FE-DA411F37E148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Indemnités de licenciement : EXONÉRÉES de charges patronales (dans la limite de 2× PASS)</t>
        </r>
      </text>
    </comment>
    <comment ref="K4" authorId="0" shapeId="0" xr:uid="{2BCE5400-6A0D-48CA-B868-713D4175BD38}">
      <text>
        <r>
          <rPr>
            <b/>
            <sz val="9"/>
            <color indexed="81"/>
            <rFont val="Tahoma"/>
            <family val="2"/>
          </rPr>
          <t>Préavis : chargé si pas de CSP, brut si CSP (charges neutralisées)</t>
        </r>
      </text>
    </comment>
    <comment ref="L4" authorId="0" shapeId="0" xr:uid="{C5D79E3D-1CF1-4FA0-B0F3-B52D6C60FDAB}">
      <text>
        <r>
          <rPr>
            <b/>
            <sz val="9"/>
            <color indexed="81"/>
            <rFont val="Tahoma"/>
            <family val="2"/>
          </rPr>
          <t>Indemnités CP : TOUJOURS soumises aux charges patronales (taux par catégorie)</t>
        </r>
      </text>
    </comment>
    <comment ref="M4" authorId="0" shapeId="0" xr:uid="{FF0DA474-8387-4593-B9AB-F4657E9BD195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COÛT TOTAL = IL (exonéré) + Préavis (chargé) + CP (chargé)</t>
        </r>
      </text>
    </comment>
    <comment ref="N4" authorId="0" shapeId="0" xr:uid="{AE0A6424-A81B-4AFC-B382-4C0791E17F08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ROI = Coût Total PSE / Économie employeur annuelle</t>
        </r>
      </text>
    </comment>
    <comment ref="B32" authorId="0" shapeId="0" xr:uid="{439E1FD4-B694-4CC2-884C-5378C20F0061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 taux différent pour les ETAM (Employés, Techniciens, Agents de maîtrise). La valeur par défaut vient de la feuille Paramètres.</t>
        </r>
      </text>
    </comment>
    <comment ref="B33" authorId="0" shapeId="0" xr:uid="{2FA58A51-F150-4C14-BE80-2BC560223760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 taux différent pour les ETAM (Employés, Techniciens, Agents de maîtrise). La valeur par défaut vient de la feuille Paramètres.</t>
        </r>
      </text>
    </comment>
    <comment ref="B34" authorId="0" shapeId="0" xr:uid="{26F68FE9-1025-4A9D-8900-7E1D83F32326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 taux différent pour les ETAM (Employés, Techniciens, Agents de maîtrise). La valeur par défaut vient de la feuille Paramètres.</t>
        </r>
      </text>
    </comment>
    <comment ref="B35" authorId="0" shapeId="0" xr:uid="{95AD2BB0-217B-43EA-9AA2-E0DC58D0F09B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une majoration PSE différente (ex: 20% = 0.2). La valeur par défaut vient de la feuille Paramètres.</t>
        </r>
      </text>
    </comment>
    <comment ref="B36" authorId="0" shapeId="0" xr:uid="{BEAB6269-AF09-4CB0-A800-FE0CCEAF30CB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cellule pour simuler un plafond SS différent. La valeur par défaut vient de la feuille Paramètres.</t>
        </r>
      </text>
    </comment>
    <comment ref="B37" authorId="0" shapeId="0" xr:uid="{6F4913B0-701D-487B-A156-448C652662C9}">
      <text>
        <r>
          <rPr>
            <b/>
            <sz val="9"/>
            <color indexed="81"/>
            <rFont val="Tahoma"/>
            <family val="2"/>
          </rPr>
          <t>Didier Caron:</t>
        </r>
        <r>
          <rPr>
            <sz val="9"/>
            <color indexed="81"/>
            <rFont val="Tahoma"/>
            <family val="2"/>
          </rPr>
          <t xml:space="preserve">
⚙️ Modifiez cette date pour simuler une date de sortie théorique différente. Elle remplira automatiquement la colonne Q de la feuille Personnel pour tous les salariés marqués OUI.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Didier Caron</author>
  </authors>
  <commentList>
    <comment ref="J3" authorId="0" shapeId="0" xr:uid="{B2F15590-B452-4CBE-AEA8-04CF7596D35B}">
      <text>
        <r>
          <rPr>
            <b/>
            <sz val="9"/>
            <color indexed="81"/>
            <rFont val="Tahoma"/>
            <family val="2"/>
          </rPr>
          <t xml:space="preserve">Indemnité conventionnelle CCN IDCC 0016:
</t>
        </r>
        <r>
          <rPr>
            <sz val="9"/>
            <color indexed="81"/>
            <rFont val="Tahoma"/>
            <family val="2"/>
          </rPr>
          <t>- Ouvrier/Employé: 1-3 ans=1/10 mois/an, ≥3 ans=2/10 mois/an
- Agent Maîtrise/Haute Maîtrise: 1-3 ans=1/10, ≥3 ans=3/10 mois/an
- Cadre: &lt;3 ans=aucune, ≥3 ans=4/10 mois/an
Seuil minimum: 1 an d'ancienneté (sauf Cadre: 3 ans)</t>
        </r>
      </text>
    </comment>
    <comment ref="O3" authorId="0" shapeId="0" xr:uid="{5B136659-8BC7-4778-9395-6635DC66D6ED}">
      <text>
        <r>
          <rPr>
            <sz val="9"/>
            <color indexed="81"/>
            <rFont val="Tahoma"/>
            <family val="2"/>
          </rPr>
          <t>Préavis en mois selon CCN IDCC 0016 et tableau paramètres:
- Cadre: toujours 3 mois
- Haute maîtrise: toujours 2 mois
- Agent Maîtrise: &lt;2 ans=1 mois, ≥2 ans=2 mois
- Ouvrier &lt;6 mois: 1 semaine (0.25 mois)
- Ouvrier/Employé 6 mois-2 ans: 1 mois
- Ouvrier/Employé ≥2 ans: 2 mois</t>
        </r>
      </text>
    </comment>
    <comment ref="P3" authorId="0" shapeId="0" xr:uid="{FEAAC583-69BF-405E-93F8-58B94A18AF5F}">
      <text>
        <r>
          <rPr>
            <sz val="9"/>
            <color indexed="81"/>
            <rFont val="Tahoma"/>
            <family val="2"/>
          </rPr>
          <t>Indemnité de préavis BRUT = mois × salaire référence
CSP ou pas, le coût brut préavis est identique
Les charges sont calculées séparément en colonne S</t>
        </r>
      </text>
    </comment>
    <comment ref="S3" authorId="0" shapeId="0" xr:uid="{2EA596ED-689D-4646-B9A9-B2D80A710303}">
      <text>
        <r>
          <rPr>
            <b/>
            <sz val="9"/>
            <color indexed="81"/>
            <rFont val="Tahoma"/>
            <family val="2"/>
          </rPr>
          <t>Charges patronales sur éléments soumis :
- Indem préavis (P) : SOUMISE aux charges SAUF si CSP accepté
- Indem CP (R) : TOUJOURS soumise aux charges
- Indem licenciement (N) : EXONÉRÉE (dans limite 2x PASS)
Si CSP=OUI et anc≥1an : contribution CSP = préavis×(taux patronal+salarial)
+ charges sur CP uniquement
Si CSP=OUI et anc&lt;1an : charges sur CP uniquement
Si CSP=NON : charges sur préavis + CP
Taux par catégorie depuis Dashboard B29:B31</t>
        </r>
      </text>
    </comment>
    <comment ref="T3" authorId="0" shapeId="0" xr:uid="{D8599357-6873-470C-87AE-BDD5F42BD005}">
      <text>
        <r>
          <rPr>
            <b/>
            <sz val="9"/>
            <color indexed="81"/>
            <rFont val="Tahoma"/>
            <family val="2"/>
          </rPr>
          <t>COÛT TOTAL = Indem licenciement (N) + Préavis brut (P) + CP (R) + Charges patronales (S)
Reflète le coût réel employeur complet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<sst xmlns="http://schemas.openxmlformats.org/spreadsheetml/2006/main" count="1755" uniqueCount="593">
  <si>
    <t>LISTE DU PERSONNEL - Saisir ici vos salariés</t>
  </si>
  <si>
    <t>ID</t>
  </si>
  <si>
    <t>Fonction à supprimer</t>
  </si>
  <si>
    <t>Nom</t>
  </si>
  <si>
    <t>Prénom</t>
  </si>
  <si>
    <t>Site</t>
  </si>
  <si>
    <t>Fonction</t>
  </si>
  <si>
    <t>Type de contrat</t>
  </si>
  <si>
    <t>Catégorie</t>
  </si>
  <si>
    <t>Coef</t>
  </si>
  <si>
    <t>Sexe</t>
  </si>
  <si>
    <t>Date Entree</t>
  </si>
  <si>
    <t>Date d'anc.</t>
  </si>
  <si>
    <t>Date de naissance</t>
  </si>
  <si>
    <t>Salaire Brut Mensuel (Base brut CP)</t>
  </si>
  <si>
    <t>Salaire Brut annuel</t>
  </si>
  <si>
    <t>Nb CP Acquis</t>
  </si>
  <si>
    <t>Date de sortie théorique</t>
  </si>
  <si>
    <t>Salaire Brut de référence</t>
  </si>
  <si>
    <t>Provision CP</t>
  </si>
  <si>
    <t>Ancienneté (ans) réelle</t>
  </si>
  <si>
    <t>Age</t>
  </si>
  <si>
    <t>Salaire Annuel Total</t>
  </si>
  <si>
    <t>Préavis (mois)</t>
  </si>
  <si>
    <t>Ancienneté (ans) à la date théorique de sortie</t>
  </si>
  <si>
    <t>Salarié Protégé</t>
  </si>
  <si>
    <t>Situation familiale</t>
  </si>
  <si>
    <t>Nb d'enfants</t>
  </si>
  <si>
    <t>Charge de famille</t>
  </si>
  <si>
    <t>Difficulté de reclassement</t>
  </si>
  <si>
    <t>Nb de points</t>
  </si>
  <si>
    <t>Commentaires</t>
  </si>
  <si>
    <t>CSP (contrat de sécurisation professionnel)</t>
  </si>
  <si>
    <t>INDEM LÉGALE</t>
  </si>
  <si>
    <t>INDEM CONV.</t>
  </si>
  <si>
    <t>COMPARAISON</t>
  </si>
  <si>
    <t>INDEM RETENUE</t>
  </si>
  <si>
    <t>Majoration PSE</t>
  </si>
  <si>
    <t>TOTAL INDEM</t>
  </si>
  <si>
    <t>Préavis Calc (mois)</t>
  </si>
  <si>
    <t>Indem Préavis Brut</t>
  </si>
  <si>
    <t>CP Calc (jrs)</t>
  </si>
  <si>
    <t>Indem CP</t>
  </si>
  <si>
    <t>COÛT Charges Patronales</t>
  </si>
  <si>
    <t>COÛT TOTAL</t>
  </si>
  <si>
    <t>Non</t>
  </si>
  <si>
    <t>BASTARD</t>
  </si>
  <si>
    <t>Gilles</t>
  </si>
  <si>
    <t>PUSIGNAN</t>
  </si>
  <si>
    <t>Manutentionnaire</t>
  </si>
  <si>
    <t>CDI</t>
  </si>
  <si>
    <t>Ouvrier</t>
  </si>
  <si>
    <t>138M</t>
  </si>
  <si>
    <t>H</t>
  </si>
  <si>
    <t>GERARD</t>
  </si>
  <si>
    <t>Bruno</t>
  </si>
  <si>
    <t>VALENCE</t>
  </si>
  <si>
    <t>Chauffeur PL</t>
  </si>
  <si>
    <t>Pascal</t>
  </si>
  <si>
    <t>Chef de Quai Temp</t>
  </si>
  <si>
    <t>150M</t>
  </si>
  <si>
    <t>PAVARD</t>
  </si>
  <si>
    <t>Joel</t>
  </si>
  <si>
    <t>ROGNAC</t>
  </si>
  <si>
    <t>MOKRANI</t>
  </si>
  <si>
    <t>Eric</t>
  </si>
  <si>
    <t>BENSID AHMED</t>
  </si>
  <si>
    <t>Ali</t>
  </si>
  <si>
    <t>BOULAKHSOUMI</t>
  </si>
  <si>
    <t>Mostafa</t>
  </si>
  <si>
    <t>Resp Exploitation</t>
  </si>
  <si>
    <t>Agent de maîtrise</t>
  </si>
  <si>
    <t>HAOUARI</t>
  </si>
  <si>
    <t>Khaled</t>
  </si>
  <si>
    <t>GUENIFI</t>
  </si>
  <si>
    <t>Abdelkader</t>
  </si>
  <si>
    <t>Chauffeur SPL</t>
  </si>
  <si>
    <t>TESTARD</t>
  </si>
  <si>
    <t>Jean-Claude</t>
  </si>
  <si>
    <t>MERLE</t>
  </si>
  <si>
    <t>Xavier</t>
  </si>
  <si>
    <t>FERDJI</t>
  </si>
  <si>
    <t>Abdenour</t>
  </si>
  <si>
    <t>BEN HASSINE</t>
  </si>
  <si>
    <t>Sami</t>
  </si>
  <si>
    <t>Conducteur PL</t>
  </si>
  <si>
    <t>RODRIGUES</t>
  </si>
  <si>
    <t>Paula</t>
  </si>
  <si>
    <t>F</t>
  </si>
  <si>
    <t>MORIM</t>
  </si>
  <si>
    <t>Enola</t>
  </si>
  <si>
    <t>Responsable Exploitation</t>
  </si>
  <si>
    <t>TALBI</t>
  </si>
  <si>
    <t>Mehdi</t>
  </si>
  <si>
    <t>ABDOULKARIM</t>
  </si>
  <si>
    <t>Amir</t>
  </si>
  <si>
    <t>LAGIER</t>
  </si>
  <si>
    <t>Vivien</t>
  </si>
  <si>
    <t>Affréteur</t>
  </si>
  <si>
    <t>Employé</t>
  </si>
  <si>
    <t>ALI</t>
  </si>
  <si>
    <t>Nassuf</t>
  </si>
  <si>
    <t>BOUDALI</t>
  </si>
  <si>
    <t>Ouari</t>
  </si>
  <si>
    <t>DUMIOT</t>
  </si>
  <si>
    <t>Julien</t>
  </si>
  <si>
    <t>EGLAINE</t>
  </si>
  <si>
    <t>Florent</t>
  </si>
  <si>
    <t>DJEBBAR</t>
  </si>
  <si>
    <t>Fettah</t>
  </si>
  <si>
    <t>Chef de quai</t>
  </si>
  <si>
    <t>AZCUE</t>
  </si>
  <si>
    <t>Georges</t>
  </si>
  <si>
    <t>FOSSE</t>
  </si>
  <si>
    <t>Eva</t>
  </si>
  <si>
    <t>Exploitante</t>
  </si>
  <si>
    <t>JACQUOT</t>
  </si>
  <si>
    <t>Grégory</t>
  </si>
  <si>
    <t>PENNACCHI</t>
  </si>
  <si>
    <t>BUJNOWSKYJ</t>
  </si>
  <si>
    <t>Sandrine née MOREL</t>
  </si>
  <si>
    <t>Assistante exploitation</t>
  </si>
  <si>
    <t>REGUIG</t>
  </si>
  <si>
    <t>Boris</t>
  </si>
  <si>
    <t>Exploitant affréteur</t>
  </si>
  <si>
    <t>BOUDRAA</t>
  </si>
  <si>
    <t>Khalid</t>
  </si>
  <si>
    <t>Assistant exploitation</t>
  </si>
  <si>
    <t>Apprenti</t>
  </si>
  <si>
    <t>ELIBAL</t>
  </si>
  <si>
    <t>Rumeysa</t>
  </si>
  <si>
    <t>Assistante Exploitation</t>
  </si>
  <si>
    <t>NICAISE</t>
  </si>
  <si>
    <t>Frédéric</t>
  </si>
  <si>
    <t>ROCHAS</t>
  </si>
  <si>
    <t>Christelle</t>
  </si>
  <si>
    <t>Commerciale</t>
  </si>
  <si>
    <t>LELIEVRE-OUDIN</t>
  </si>
  <si>
    <t>Fabien</t>
  </si>
  <si>
    <t>🎯 DASHBOARD PSE — ANALYSE AVANT / APRÈS RESTRUCTURATION</t>
  </si>
  <si>
    <t>Effectif Avant</t>
  </si>
  <si>
    <t>Postes Supprimés</t>
  </si>
  <si>
    <t>Contrat</t>
  </si>
  <si>
    <t>Avant</t>
  </si>
  <si>
    <t>Suppressions</t>
  </si>
  <si>
    <t>Effectif Après</t>
  </si>
  <si>
    <t>% Réduction</t>
  </si>
  <si>
    <t>Coût Employeur Avant (€/an)</t>
  </si>
  <si>
    <t>Coût Employeur Après (€/an)</t>
  </si>
  <si>
    <t>Économie Employeur (€/an)</t>
  </si>
  <si>
    <t>Coût IL (exonéré)</t>
  </si>
  <si>
    <t>Coût Préavis (chargé)</t>
  </si>
  <si>
    <t>Coût CP (chargé)</t>
  </si>
  <si>
    <t>COÛT TOTAL PSE</t>
  </si>
  <si>
    <t>ROI (années)</t>
  </si>
  <si>
    <t>CDI supprimés</t>
  </si>
  <si>
    <t>CDD supprimés</t>
  </si>
  <si>
    <t>H supprimés</t>
  </si>
  <si>
    <t>F supprimées</t>
  </si>
  <si>
    <t>CDD</t>
  </si>
  <si>
    <t>📍 VENTILATION PAR SITE</t>
  </si>
  <si>
    <t>💼 VENTILATION PAR CATÉGORIE (CSP)</t>
  </si>
  <si>
    <t>Hommes</t>
  </si>
  <si>
    <t>Suppr.</t>
  </si>
  <si>
    <t>Après</t>
  </si>
  <si>
    <t>% Suppr.</t>
  </si>
  <si>
    <t>Coût Empl. Avant (€)</t>
  </si>
  <si>
    <t>Coût Empl. Après (€)</t>
  </si>
  <si>
    <t>Femmes</t>
  </si>
  <si>
    <t>30-39 ans</t>
  </si>
  <si>
    <t>40-49 ans</t>
  </si>
  <si>
    <t>📝 VENTILATION PAR TYPE DE CONTRAT</t>
  </si>
  <si>
    <t>Indemnités licenciement</t>
  </si>
  <si>
    <t>60 ans +</t>
  </si>
  <si>
    <t>% Avant</t>
  </si>
  <si>
    <t>% Après</t>
  </si>
  <si>
    <t>♂️♀️ VENTILATION PAR SEXE (H/F)</t>
  </si>
  <si>
    <t>Indemnités préavis</t>
  </si>
  <si>
    <t>Indemnités CP</t>
  </si>
  <si>
    <t>Hommes (H)</t>
  </si>
  <si>
    <t>Charges patronales</t>
  </si>
  <si>
    <t>Femmes (F)</t>
  </si>
  <si>
    <t>📅 ÂGE × SEXE (Avant / Suppr.)</t>
  </si>
  <si>
    <t>Âge</t>
  </si>
  <si>
    <t>H Avant</t>
  </si>
  <si>
    <t>H Suppr.</t>
  </si>
  <si>
    <t>F Avant</t>
  </si>
  <si>
    <t>F Suppr.</t>
  </si>
  <si>
    <t>Total Avant</t>
  </si>
  <si>
    <t>Total Suppr.</t>
  </si>
  <si>
    <t>&lt; 30 ans</t>
  </si>
  <si>
    <t>50-59 ans</t>
  </si>
  <si>
    <t>🎛️ SIMULATEUR DE SCÉNARIOS — Modifiez les valeurs en bleu pour voir l'impact sur tous les résultats</t>
  </si>
  <si>
    <t>Paramètre</t>
  </si>
  <si>
    <t>Valeur Simulation</t>
  </si>
  <si>
    <t>Unité</t>
  </si>
  <si>
    <t>📊 RÉSULTAT DE LA SIMULATION</t>
  </si>
  <si>
    <t>Charges patronales Ouvrier</t>
  </si>
  <si>
    <t>%</t>
  </si>
  <si>
    <t>AVANT</t>
  </si>
  <si>
    <t>APRÈS</t>
  </si>
  <si>
    <t>ÉCONOMIE</t>
  </si>
  <si>
    <t>Charges patronales ETAM</t>
  </si>
  <si>
    <t>Effectif</t>
  </si>
  <si>
    <t>Charges patronales Cadre</t>
  </si>
  <si>
    <t>Masse salariale brute (€/an)</t>
  </si>
  <si>
    <t>Majoration PSE (supra-légale)</t>
  </si>
  <si>
    <t>Coût employeur total (€/an)</t>
  </si>
  <si>
    <t>Plafond Sécurité Sociale mensuel</t>
  </si>
  <si>
    <t>€</t>
  </si>
  <si>
    <t>Coût total PSE (€)</t>
  </si>
  <si>
    <t>Date</t>
  </si>
  <si>
    <t>Détail coûts PSE</t>
  </si>
  <si>
    <t>Montant</t>
  </si>
  <si>
    <t xml:space="preserve">  Indemnités licenciement (exonérées)</t>
  </si>
  <si>
    <t xml:space="preserve">  Préavis chargé (ou brut si CSP)</t>
  </si>
  <si>
    <t xml:space="preserve">  CP chargés</t>
  </si>
  <si>
    <t>📊 TABLEAUX DE SYNTHÈSE PSE — LIVRE I &amp; LIVRE II</t>
  </si>
  <si>
    <t>TABLEAU 1 — RÉPARTITION DES EFFECTIFS PAR SITE ET TYPE DE CONTRAT (Livre I, Art. L1233-31)</t>
  </si>
  <si>
    <t>TABLEAU 3 — RÉPARTITION PAR SEXE (Livre I, Égalité H/F)</t>
  </si>
  <si>
    <t>Total</t>
  </si>
  <si>
    <t>Supprimés</t>
  </si>
  <si>
    <t>TOTAL</t>
  </si>
  <si>
    <t>TABLEAU 2 — SUPPRESSIONS PAR CATÉGORIE PROFESSIONNELLE (Livre I, Art. L1233-31)</t>
  </si>
  <si>
    <t>TABLEAU 4 — RÉPARTITION PAR TRANCHE D'ÂGE (Livre I, Art. L1233-5)</t>
  </si>
  <si>
    <t>Restant</t>
  </si>
  <si>
    <t>Coût Total (€)</t>
  </si>
  <si>
    <t>Tranche d'âge</t>
  </si>
  <si>
    <t>Moins de 30 ans</t>
  </si>
  <si>
    <t>30 - 39 ans</t>
  </si>
  <si>
    <t>40 - 49 ans</t>
  </si>
  <si>
    <t>50 - 54 ans</t>
  </si>
  <si>
    <t>55 ans et +</t>
  </si>
  <si>
    <t>TABLEAU 5 — SUPPRESSIONS PAR FONCTION (Livre II, Détail des postes)</t>
  </si>
  <si>
    <t>TABLEAU 6 — COÛT TOTAL PAR SITE (Livre II, Mesures d'accompagnement)</t>
  </si>
  <si>
    <t>Sal. Moyen (€)</t>
  </si>
  <si>
    <t>Coût Moyen (€)</t>
  </si>
  <si>
    <t>📊 ANALYSE DOSSIER ÉCONOMIQUE PSE — Livre I &amp; Compléments</t>
  </si>
  <si>
    <t>1️⃣ INDICATEURS SOCIAUX OBLIGATOIRES (Art. L1233-31 / L1233-5 C. trav.)</t>
  </si>
  <si>
    <t>Indicateur</t>
  </si>
  <si>
    <t>Valeur</t>
  </si>
  <si>
    <t>Seuil / Norme</t>
  </si>
  <si>
    <t>Alerte</t>
  </si>
  <si>
    <t>Taux de suppression global</t>
  </si>
  <si>
    <t>&lt; 30% faible impact</t>
  </si>
  <si>
    <t>Salariés ≥ 50 ans supprimés</t>
  </si>
  <si>
    <t>% des ≥ 50 ans parmi supprimés</t>
  </si>
  <si>
    <t>Salariés ≥ 55 ans supprimés</t>
  </si>
  <si>
    <t>Parité H/F — % Hommes supprimés</t>
  </si>
  <si>
    <t>Parité H/F — % Femmes supprimées</t>
  </si>
  <si>
    <t>Ancienneté moyenne des supprimés (ans)</t>
  </si>
  <si>
    <t>Âge moyen des supprimés (ans)</t>
  </si>
  <si>
    <t>Nb de sites impactés</t>
  </si>
  <si>
    <t>Catégorie la plus touchée</t>
  </si>
  <si>
    <t>Indemnité moyenne par supprimé (€)</t>
  </si>
  <si>
    <t>Coût total / nb supprimés</t>
  </si>
  <si>
    <t>Salaire brut moyen des supprimés (€)</t>
  </si>
  <si>
    <t>2️⃣ PROJECTION D'ÉCONOMIES SUR 3 ANS — Point mort &amp; retour sur investissement</t>
  </si>
  <si>
    <t>Période</t>
  </si>
  <si>
    <t>Année 0
(Restructuration)</t>
  </si>
  <si>
    <t>Année 1</t>
  </si>
  <si>
    <t>Année 2</t>
  </si>
  <si>
    <t>Année 3</t>
  </si>
  <si>
    <t>TOTAL 3 ans</t>
  </si>
  <si>
    <t>Flux cumulé (€)</t>
  </si>
  <si>
    <t>Coût PSE (décaissement)</t>
  </si>
  <si>
    <t>Année 0</t>
  </si>
  <si>
    <t>Économie coût employeur annuelle</t>
  </si>
  <si>
    <t>Flux net annuel</t>
  </si>
  <si>
    <t>Flux cumulé</t>
  </si>
  <si>
    <t>Point mort (breakeven)</t>
  </si>
  <si>
    <t>ROI de la restructuration</t>
  </si>
  <si>
    <t>3️⃣ COÛT PSE PAR CATÉGORIE × TRANCHE D'ANCIENNETÉ</t>
  </si>
  <si>
    <t>Catégorie \ Ancienneté</t>
  </si>
  <si>
    <t>0-5 ans</t>
  </si>
  <si>
    <t>5-10 ans</t>
  </si>
  <si>
    <t>10-20 ans</t>
  </si>
  <si>
    <t>20+ ans</t>
  </si>
  <si>
    <t>Cadre</t>
  </si>
  <si>
    <t>CALCUL DES INDEMNITÉS DE LICENCIEMENT - LÉGAL vs CONVENTIONNEL</t>
  </si>
  <si>
    <t>Cat.</t>
  </si>
  <si>
    <t>Anc.</t>
  </si>
  <si>
    <t>Salaire Ref</t>
  </si>
  <si>
    <t>Préavis</t>
  </si>
  <si>
    <t>CP (jrs)</t>
  </si>
  <si>
    <t>TOTAL UNIQUEMENT SALARIES A SUPPRIMER</t>
  </si>
  <si>
    <t>ANALYSE MASSE SALARIALE AVANT / APRÈS RESTRUCTURATION</t>
  </si>
  <si>
    <t>SITUATION AVANT RESTRUCTURATION</t>
  </si>
  <si>
    <t>Effectif total</t>
  </si>
  <si>
    <t>Masse salariale brute annuelle</t>
  </si>
  <si>
    <t>Charges patronales (par catégorie)</t>
  </si>
  <si>
    <t>Coût employeur total annuel</t>
  </si>
  <si>
    <t>SITUATION APRÈS RESTRUCTURATION</t>
  </si>
  <si>
    <t>Suppressions de postes</t>
  </si>
  <si>
    <t>Effectif restant</t>
  </si>
  <si>
    <t>Masse salariale brute annuelle après</t>
  </si>
  <si>
    <t>Coût employeur total annuel après</t>
  </si>
  <si>
    <t>ÉCONOMIQUE DE LA RESTRUCTURATION</t>
  </si>
  <si>
    <t>Réduction effectif (%)</t>
  </si>
  <si>
    <t>Économie masse salariale annuelle</t>
  </si>
  <si>
    <t>Économie charges patronales annuelles</t>
  </si>
  <si>
    <t>Économie coût employeur total annuel</t>
  </si>
  <si>
    <t>COUT TOTAL DE LA RESTRUCTURATION</t>
  </si>
  <si>
    <t>Retour sur investissement (années)</t>
  </si>
  <si>
    <t>COMPARATIF INDEMNITÉ LÉGALE vs CONVENTIONNELLE</t>
  </si>
  <si>
    <t>Salaire</t>
  </si>
  <si>
    <t>LEGAL</t>
  </si>
  <si>
    <t>CONV.</t>
  </si>
  <si>
    <t>ÉCART</t>
  </si>
  <si>
    <t>RETENUE</t>
  </si>
  <si>
    <t>📋 SYNTHÈSE PSE — LIVRE I &amp; LIVRE II</t>
  </si>
  <si>
    <t>1️⃣ SUPPRESSIONS PAR SITE</t>
  </si>
  <si>
    <t>Effectif Total</t>
  </si>
  <si>
    <t>Effectif Restant</t>
  </si>
  <si>
    <t>% Suppression</t>
  </si>
  <si>
    <t>Salaire Moyen Supp.</t>
  </si>
  <si>
    <t>Ancienneté Moy. Supp.</t>
  </si>
  <si>
    <t>2️⃣ SUPPRESSIONS PAR CATÉGORIE PROFESSIONNELLE</t>
  </si>
  <si>
    <t>Masse Salariale Supp.</t>
  </si>
  <si>
    <t>Anc. Moyenne Supp.</t>
  </si>
  <si>
    <t>3️⃣ SUPPRESSIONS PAR FONCTION</t>
  </si>
  <si>
    <t>Salaire Moyen</t>
  </si>
  <si>
    <t>Anc. Moyenne</t>
  </si>
  <si>
    <t>4️⃣ RÉPARTITION PAR TRANCHE D'ÂGE (Livre I - Art. L1233-31)</t>
  </si>
  <si>
    <t>% Effectif Avant</t>
  </si>
  <si>
    <t>% Effectif Après</t>
  </si>
  <si>
    <t>50-54 ans</t>
  </si>
  <si>
    <t>5️⃣ RÉPARTITION PAR ANCIENNETÉ (Critères d'ordre - Art. L1233-5)</t>
  </si>
  <si>
    <t>Tranche Ancienneté</t>
  </si>
  <si>
    <t>10-15 ans</t>
  </si>
  <si>
    <t>15-20 ans</t>
  </si>
  <si>
    <t>20 ans et +</t>
  </si>
  <si>
    <t>6️⃣ INDICATEURS CLÉS — LIVRE I (Motifs éco.) &amp; LIVRE II (Modalités)</t>
  </si>
  <si>
    <t>LIVRE I — Motif économique &amp; Impact social</t>
  </si>
  <si>
    <t>Détail</t>
  </si>
  <si>
    <t>Référence légale</t>
  </si>
  <si>
    <t>Effectif total de l'entreprise</t>
  </si>
  <si>
    <t>Salariés sous contrat</t>
  </si>
  <si>
    <t>Art. L1233-3 C. trav.</t>
  </si>
  <si>
    <t>Nombre de suppressions de postes</t>
  </si>
  <si>
    <t>Postes marqués OUI</t>
  </si>
  <si>
    <t>Taux de suppression (%)</t>
  </si>
  <si>
    <t>Ratio suppressions/effectif</t>
  </si>
  <si>
    <t>Art. L1233-31</t>
  </si>
  <si>
    <t>Nombre de sites impactés</t>
  </si>
  <si>
    <t>Sites avec au moins 1 suppression</t>
  </si>
  <si>
    <t>Âge moyen des salariés supprimés</t>
  </si>
  <si>
    <t>Ans</t>
  </si>
  <si>
    <t>Art. L1233-5 (critères d'ordre)</t>
  </si>
  <si>
    <t>Ancienneté moyenne des supprimés</t>
  </si>
  <si>
    <t>Salaire brut moyen des supprimés</t>
  </si>
  <si>
    <t>€/mois</t>
  </si>
  <si>
    <t>Salaire brut moyen général</t>
  </si>
  <si>
    <t>€/mois (ensemble)</t>
  </si>
  <si>
    <t>Masse salariale annuelle supprimée</t>
  </si>
  <si>
    <t>€/an</t>
  </si>
  <si>
    <t>Incl. charges patronales par catégorie</t>
  </si>
  <si>
    <t>Catégorie(s) la + impactée</t>
  </si>
  <si>
    <t>Détail section 2 ci-dessus</t>
  </si>
  <si>
    <t>Art. L1233-5</t>
  </si>
  <si>
    <t>LIVRE II — Mesures d'accompagnement &amp; Coûts</t>
  </si>
  <si>
    <t>Indemnités de licenciement (total)</t>
  </si>
  <si>
    <t>Max(légale, conventionnelle)</t>
  </si>
  <si>
    <t>Art. L1234-9 / Art. R1234-2</t>
  </si>
  <si>
    <t>Indemnités compensatrices de préavis</t>
  </si>
  <si>
    <t>Durée selon catégorie</t>
  </si>
  <si>
    <t>Art. L1234-1</t>
  </si>
  <si>
    <t>Indemnités compensatrices de CP</t>
  </si>
  <si>
    <t>Congés acquis non pris</t>
  </si>
  <si>
    <t>Art. L3141-28</t>
  </si>
  <si>
    <t>COÛT TOTAL RESTRUCTURATION</t>
  </si>
  <si>
    <t>Toutes indemnités confondues</t>
  </si>
  <si>
    <t>Coût moyen par salarié licencié</t>
  </si>
  <si>
    <t>€ par personne</t>
  </si>
  <si>
    <t>Indemnité la plus élevée</t>
  </si>
  <si>
    <t>Maximum individuel</t>
  </si>
  <si>
    <t>Indemnité la plus faible</t>
  </si>
  <si>
    <t>Minimum individuel (hors 0)</t>
  </si>
  <si>
    <t>Durée préavis maximale (mois)</t>
  </si>
  <si>
    <t>Mois</t>
  </si>
  <si>
    <t>Années pour amortir le coût</t>
  </si>
  <si>
    <t>Base de calcul</t>
  </si>
  <si>
    <t>IDCC 0016</t>
  </si>
  <si>
    <t>Conv. Coll. Transports Routiers</t>
  </si>
  <si>
    <t>⚙️ Paramètres'</t>
  </si>
  <si>
    <t>Majoration PSE appliquée</t>
  </si>
  <si>
    <t>Supra-légale</t>
  </si>
  <si>
    <t>Art. L1233-24-2</t>
  </si>
  <si>
    <t>PARAMÈTRES DU PSE - Convention Collective Transports Routiers IDCC 0016</t>
  </si>
  <si>
    <t>LISTES DYNAMIQUES (auto-générées)</t>
  </si>
  <si>
    <t>Sites</t>
  </si>
  <si>
    <t>Catégories</t>
  </si>
  <si>
    <t>Fonctions</t>
  </si>
  <si>
    <t>Unite</t>
  </si>
  <si>
    <t>Description</t>
  </si>
  <si>
    <t>Liste</t>
  </si>
  <si>
    <t>Oui</t>
  </si>
  <si>
    <t>Majoration supra-légale (20% typique)</t>
  </si>
  <si>
    <t>Plafond indemnité</t>
  </si>
  <si>
    <t>mois</t>
  </si>
  <si>
    <t>Plafond maximum si applicable</t>
  </si>
  <si>
    <t>Plafond Sécu mensuel 2026</t>
  </si>
  <si>
    <t>Plafond SS pour calculs</t>
  </si>
  <si>
    <t>Taux charges patronales Ouvriers</t>
  </si>
  <si>
    <t>Taux charges patronales ETAM (Employés, Techniciens, Agents de maîtrise)</t>
  </si>
  <si>
    <t>Taux charges patronales Cadres</t>
  </si>
  <si>
    <t>APPRENTISSAGE</t>
  </si>
  <si>
    <t>Charges salariales</t>
  </si>
  <si>
    <t>Taux moyen charges salariales (pour contribution CSP)</t>
  </si>
  <si>
    <t>Ancienneté</t>
  </si>
  <si>
    <t>Indemnité convention collective</t>
  </si>
  <si>
    <t>Indemnité Code du travail</t>
  </si>
  <si>
    <t>Ouvriers</t>
  </si>
  <si>
    <t>1 an à moins de 3 ans</t>
  </si>
  <si>
    <t>1/10 mois par année</t>
  </si>
  <si>
    <t>1/5 mois par année</t>
  </si>
  <si>
    <t>≥ 3 ans</t>
  </si>
  <si>
    <t>2/10 mois par année</t>
  </si>
  <si>
    <t>1/5 mois par année + 2/15 au-delà de 10 ans</t>
  </si>
  <si>
    <t>&lt; 6 mois</t>
  </si>
  <si>
    <t>—</t>
  </si>
  <si>
    <t>1 semaine</t>
  </si>
  <si>
    <t>6 mois à moins de 2 ans</t>
  </si>
  <si>
    <t>1 mois</t>
  </si>
  <si>
    <t>≥ 2 ans</t>
  </si>
  <si>
    <t>2 mois</t>
  </si>
  <si>
    <t>Employés</t>
  </si>
  <si>
    <t>1 mois à moins de 2 ans</t>
  </si>
  <si>
    <t>Agents de maîtrise</t>
  </si>
  <si>
    <t>3/10 mois par année</t>
  </si>
  <si>
    <t>Haute maîtrise</t>
  </si>
  <si>
    <t>toute ancienneté</t>
  </si>
  <si>
    <t>Cadres</t>
  </si>
  <si>
    <t>moins de 3 ans</t>
  </si>
  <si>
    <t>aucune indemnité conventionnelle</t>
  </si>
  <si>
    <t>4/10 mois par année</t>
  </si>
  <si>
    <t>3 mois</t>
  </si>
  <si>
    <t>Registre personnel - Du 1 février 2026 au 28 février 2026</t>
  </si>
  <si>
    <t>Matricule</t>
  </si>
  <si>
    <t>Salarié</t>
  </si>
  <si>
    <t>Pays de nationalité</t>
  </si>
  <si>
    <t>Titre de séjour</t>
  </si>
  <si>
    <t>Entrée
dans période</t>
  </si>
  <si>
    <t>Date entrée</t>
  </si>
  <si>
    <t>Sortie
dans période</t>
  </si>
  <si>
    <t>Date sortie</t>
  </si>
  <si>
    <t>Date ancienneté</t>
  </si>
  <si>
    <t>Établissement</t>
  </si>
  <si>
    <t>Emploi</t>
  </si>
  <si>
    <t>CSP</t>
  </si>
  <si>
    <t>Statut
professionnel</t>
  </si>
  <si>
    <t>Qualification</t>
  </si>
  <si>
    <t>Particularités</t>
  </si>
  <si>
    <t>Date du changement</t>
  </si>
  <si>
    <t>FCO</t>
  </si>
  <si>
    <t>Médecine du travail</t>
  </si>
  <si>
    <t>BASTARD Gilles</t>
  </si>
  <si>
    <t>France</t>
  </si>
  <si>
    <t/>
  </si>
  <si>
    <t>654c</t>
  </si>
  <si>
    <t>Echelon : 2, Groupe : 06, Coefficient : 138M</t>
  </si>
  <si>
    <t>U00600</t>
  </si>
  <si>
    <t>AGEMETRA</t>
  </si>
  <si>
    <t>GERARD Bruno</t>
  </si>
  <si>
    <t>641a</t>
  </si>
  <si>
    <t>Groupe : 06, Coefficient : 138M</t>
  </si>
  <si>
    <t>L00510</t>
  </si>
  <si>
    <t>GERARD Pascal</t>
  </si>
  <si>
    <t>Echelon : 3, Groupe : 07, Coefficient : 150M</t>
  </si>
  <si>
    <t>PAVARD Joel</t>
  </si>
  <si>
    <t>Groupe : 07, Coefficient : 150M</t>
  </si>
  <si>
    <t>J00510</t>
  </si>
  <si>
    <t>AIST 83</t>
  </si>
  <si>
    <t>MOKRANI Eric</t>
  </si>
  <si>
    <t>J00500</t>
  </si>
  <si>
    <t>AISMT 13</t>
  </si>
  <si>
    <t>BENSID AHMED Ali</t>
  </si>
  <si>
    <t>L00500</t>
  </si>
  <si>
    <t>AIPVR</t>
  </si>
  <si>
    <t>BOULAKHSOUMI Mostafa</t>
  </si>
  <si>
    <t>466c</t>
  </si>
  <si>
    <t>Echelon : 3, Groupe : 05, Coefficient : 185</t>
  </si>
  <si>
    <t>L00400</t>
  </si>
  <si>
    <t>HAOUARI Khaled</t>
  </si>
  <si>
    <t>GUENIFI Abdelkader</t>
  </si>
  <si>
    <t>Groupe : 05, Coefficient : 138M</t>
  </si>
  <si>
    <t>TESTARD Jean-Claude</t>
  </si>
  <si>
    <t>MERLE Xavier</t>
  </si>
  <si>
    <t>U00500</t>
  </si>
  <si>
    <t>FERDJI Abdenour</t>
  </si>
  <si>
    <t>Algérie</t>
  </si>
  <si>
    <t>Carte de résident (NJVR1Y78G) du 17/12/2023 jusqu'au 17/12/2033</t>
  </si>
  <si>
    <t>643a</t>
  </si>
  <si>
    <t>BEN HASSINE Sami</t>
  </si>
  <si>
    <t>Carte de résident (2C8WIRP1E) du 06/09/2014 jusqu'au 05/09/2024</t>
  </si>
  <si>
    <t>RODRIGUES Paula Cristina</t>
  </si>
  <si>
    <t>MORIM Enola</t>
  </si>
  <si>
    <t>Groupe : 01, Coefficient : 150</t>
  </si>
  <si>
    <t>U00400</t>
  </si>
  <si>
    <t>TALBI Mehdi</t>
  </si>
  <si>
    <t>ABDOULKARIM Amir</t>
  </si>
  <si>
    <t>LAGIER Vivien</t>
  </si>
  <si>
    <t>546c</t>
  </si>
  <si>
    <t>Groupe : 06, Coefficient : 125</t>
  </si>
  <si>
    <t>ALI Nassuf</t>
  </si>
  <si>
    <t>BOUDALI Ouari</t>
  </si>
  <si>
    <t>DUMIOT Julien</t>
  </si>
  <si>
    <t>AMETRA 06</t>
  </si>
  <si>
    <t>EGLAINE Florent</t>
  </si>
  <si>
    <t>FRANCE</t>
  </si>
  <si>
    <t>DJEBBAR Fettah</t>
  </si>
  <si>
    <t>652a</t>
  </si>
  <si>
    <t>AZCUE Georges</t>
  </si>
  <si>
    <t>FOSSE Eva</t>
  </si>
  <si>
    <t>461d</t>
  </si>
  <si>
    <t>Echelon : 1, Groupe : 01, Coefficient : 150</t>
  </si>
  <si>
    <t>JACQUOT Grégory</t>
  </si>
  <si>
    <t>U00550</t>
  </si>
  <si>
    <t>PENNACCHI Eric</t>
  </si>
  <si>
    <t>BUJNOWSKYJ Sandrine née MOREL</t>
  </si>
  <si>
    <t>REGUIG Boris</t>
  </si>
  <si>
    <t>BOUDRAA Khalid</t>
  </si>
  <si>
    <t>Echelon : 1, Groupe : 05, Coefficient : 120</t>
  </si>
  <si>
    <t>Contrat d'apprentissage entreprises non artisanales d'au moins 11 salariés (loi de 1987)</t>
  </si>
  <si>
    <t>ELIBAL Rumeysa</t>
  </si>
  <si>
    <t>Groupe : 05, Coefficient : 120</t>
  </si>
  <si>
    <t>NICAISE Frédéric</t>
  </si>
  <si>
    <t>ROCHAS Christelle</t>
  </si>
  <si>
    <t>462e</t>
  </si>
  <si>
    <t>LELIEVRE-OUDIN Fabien</t>
  </si>
  <si>
    <t>Solde de repos FATTON - Décembre 2025 - Dossier 33587.9</t>
  </si>
  <si>
    <t>SOCIETE</t>
  </si>
  <si>
    <t>MATRI. CP.MOYEN.</t>
  </si>
  <si>
    <t>NOM PRENOM</t>
  </si>
  <si>
    <t>ANNEE</t>
  </si>
  <si>
    <t>ETABLISSEMENT</t>
  </si>
  <si>
    <t>BRUT CP</t>
  </si>
  <si>
    <t>Total CP (J)</t>
  </si>
  <si>
    <t>FATTON AND CO</t>
  </si>
  <si>
    <t>00003</t>
  </si>
  <si>
    <t>Société</t>
  </si>
  <si>
    <t>Etablissement</t>
  </si>
  <si>
    <t>Axe analytique</t>
  </si>
  <si>
    <t>Sous total salaire de base</t>
  </si>
  <si>
    <t>Salaire brut CP</t>
  </si>
  <si>
    <t>CP Acquis N-1</t>
  </si>
  <si>
    <t>CP Pris N-1</t>
  </si>
  <si>
    <t>CP Solde N-1</t>
  </si>
  <si>
    <t>CP Acquis N</t>
  </si>
  <si>
    <t>CP Pris N</t>
  </si>
  <si>
    <t>CP Solde N</t>
  </si>
  <si>
    <t>Provision CP N-1</t>
  </si>
  <si>
    <t>Provision CPN</t>
  </si>
  <si>
    <t>Solde CP</t>
  </si>
  <si>
    <t>Entrée</t>
  </si>
  <si>
    <t>02805</t>
  </si>
  <si>
    <t>00083</t>
  </si>
  <si>
    <t>02797</t>
  </si>
  <si>
    <t>02773</t>
  </si>
  <si>
    <t>02789</t>
  </si>
  <si>
    <t>02791</t>
  </si>
  <si>
    <t>02806</t>
  </si>
  <si>
    <t>00009</t>
  </si>
  <si>
    <t>00070</t>
  </si>
  <si>
    <t>02793</t>
  </si>
  <si>
    <t>00028</t>
  </si>
  <si>
    <t>02809</t>
  </si>
  <si>
    <t>02774</t>
  </si>
  <si>
    <t>00068</t>
  </si>
  <si>
    <t>00080</t>
  </si>
  <si>
    <t>00031</t>
  </si>
  <si>
    <t>02807</t>
  </si>
  <si>
    <t>02798</t>
  </si>
  <si>
    <t>02808</t>
  </si>
  <si>
    <t>02782</t>
  </si>
  <si>
    <t>00062</t>
  </si>
  <si>
    <t>ZAPPATERRA Olivier</t>
  </si>
  <si>
    <t>02784</t>
  </si>
  <si>
    <t>00069</t>
  </si>
  <si>
    <t>02792</t>
  </si>
  <si>
    <t>00019</t>
  </si>
  <si>
    <t>00008</t>
  </si>
  <si>
    <t>00018</t>
  </si>
  <si>
    <t>02794</t>
  </si>
  <si>
    <t>00035</t>
  </si>
  <si>
    <t>00033</t>
  </si>
  <si>
    <t>02772</t>
  </si>
  <si>
    <t>00077</t>
  </si>
  <si>
    <t>00081</t>
  </si>
  <si>
    <t>00040</t>
  </si>
  <si>
    <t>00014</t>
  </si>
  <si>
    <t>VOINEA Valentin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</si>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</sst>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0.0"/>
    <numFmt numFmtId="166" formatCode="0.0%"/>
    <numFmt numFmtId="167" formatCode="#,##0\ \€"/>
    <numFmt numFmtId="168" formatCode="00000"/>
    <numFmt numFmtId="169" formatCode="#,##0\ \€;\(#,##0\ \€\);&quot;-&quot;"/>
    <numFmt numFmtId="170" formatCode="0.00\ &quot;ans&quot;"/>
    <numFmt numFmtId="171" formatCode="_-* #,##0.00\ _€_-;\-* #,##0.00\ _€_-;_-* &quot;-&quot;??\ _€_-;_-@_-"/>
    <numFmt numFmtId="172" formatCode="#,##0.000"/>
  </numFmts>
  <fonts count="71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1"/>
      <color rgb="FF0000FF"/>
      <name val="Calibri"/>
    </font>
    <font>
      <sz val="10"/>
      <color rgb="FF008000"/>
      <name val="Calibri"/>
    </font>
    <font>
      <b/>
      <sz val="11"/>
      <color rgb="FF000000"/>
      <name val="Calibri"/>
    </font>
    <font>
      <b/>
      <sz val="10"/>
      <color rgb="FFC00000"/>
      <name val="Calibri"/>
    </font>
    <font>
      <b/>
      <sz val="11"/>
      <name val="Calibri"/>
    </font>
    <font>
      <b/>
      <sz val="12"/>
      <color rgb="FF1F4E78"/>
      <name val="Calibri"/>
    </font>
    <font>
      <b/>
      <sz val="12"/>
      <color rgb="FFC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rgb="FF0000FF"/>
      <name val="Calibri"/>
      <family val="2"/>
    </font>
    <font>
      <b/>
      <sz val="11"/>
      <color rgb="FFFFFF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0"/>
      <color rgb="FF2E75B6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0"/>
      <color rgb="FF385723"/>
      <name val="Calibri"/>
      <family val="2"/>
      <scheme val="minor"/>
    </font>
    <font>
      <b/>
      <sz val="20"/>
      <color rgb="FFBF8F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85723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F8F00"/>
      <name val="Calibri"/>
      <family val="2"/>
      <scheme val="minor"/>
    </font>
    <font>
      <b/>
      <sz val="16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0"/>
      <color rgb="FF1F3864"/>
      <name val="Calibri"/>
      <scheme val="minor"/>
    </font>
    <font>
      <b/>
      <sz val="10"/>
      <color rgb="FFFFFFFF"/>
      <name val="Calibri"/>
      <scheme val="minor"/>
    </font>
    <font>
      <b/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rgb="FFC00000"/>
      <name val="Calibri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1"/>
      <name val="Calibri"/>
      <family val="2"/>
    </font>
    <font>
      <b/>
      <sz val="12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385723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2"/>
      <color rgb="FF38572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BF8F00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FC7CE"/>
        <bgColor rgb="FFFFC7CE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FFC000"/>
        <bgColor rgb="FF1F4E78"/>
      </patternFill>
    </fill>
    <fill>
      <patternFill patternType="solid">
        <fgColor rgb="FFFF0000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rgb="FF1F4E78"/>
      </patternFill>
    </fill>
    <fill>
      <patternFill patternType="solid">
        <fgColor rgb="FFBF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CD"/>
        <bgColor indexed="64"/>
      </patternFill>
    </fill>
  </fills>
  <borders count="89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medium">
        <color auto="1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rgb="FFB4C6E7"/>
      </left>
      <right style="medium">
        <color auto="1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1F3864"/>
      </top>
      <bottom/>
      <diagonal/>
    </border>
    <border>
      <left style="thin">
        <color rgb="FFB4C6E7"/>
      </left>
      <right/>
      <top style="medium">
        <color rgb="FF1F3864"/>
      </top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thin">
        <color rgb="FFB4C6E7"/>
      </top>
      <bottom style="thin">
        <color rgb="FFD6E4F0"/>
      </bottom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 style="thin">
        <color rgb="FFB4C6E7"/>
      </top>
      <bottom style="thin">
        <color rgb="FFD6E4F0"/>
      </bottom>
      <diagonal/>
    </border>
    <border>
      <left style="medium">
        <color rgb="FF1F3864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medium">
        <color rgb="FF1F3864"/>
      </right>
      <top style="thin">
        <color rgb="FFB4C6E7"/>
      </top>
      <bottom/>
      <diagonal/>
    </border>
    <border>
      <left style="medium">
        <color rgb="FF1F3864"/>
      </left>
      <right/>
      <top style="thin">
        <color rgb="FFD6E4F0"/>
      </top>
      <bottom/>
      <diagonal/>
    </border>
    <border>
      <left/>
      <right/>
      <top style="thin">
        <color rgb="FFD6E4F0"/>
      </top>
      <bottom/>
      <diagonal/>
    </border>
    <border>
      <left/>
      <right style="medium">
        <color rgb="FF1F3864"/>
      </right>
      <top style="thin">
        <color rgb="FFD6E4F0"/>
      </top>
      <bottom/>
      <diagonal/>
    </border>
    <border>
      <left style="medium">
        <color rgb="FF1F3864"/>
      </left>
      <right/>
      <top style="thin">
        <color rgb="FFB4C6E7"/>
      </top>
      <bottom style="medium">
        <color rgb="FF1F3864"/>
      </bottom>
      <diagonal/>
    </border>
    <border>
      <left/>
      <right/>
      <top style="thin">
        <color rgb="FFB4C6E7"/>
      </top>
      <bottom style="medium">
        <color rgb="FF1F3864"/>
      </bottom>
      <diagonal/>
    </border>
    <border>
      <left/>
      <right style="medium">
        <color rgb="FF1F3864"/>
      </right>
      <top style="thin">
        <color rgb="FFB4C6E7"/>
      </top>
      <bottom style="medium">
        <color rgb="FF1F3864"/>
      </bottom>
      <diagonal/>
    </border>
    <border>
      <left/>
      <right/>
      <top style="thin">
        <color rgb="FFD6E4F0"/>
      </top>
      <bottom style="medium">
        <color rgb="FF1F3864"/>
      </bottom>
      <diagonal/>
    </border>
    <border>
      <left style="medium">
        <color rgb="FF1F3864"/>
      </left>
      <right/>
      <top style="thin">
        <color rgb="FFD6E4F0"/>
      </top>
      <bottom style="medium">
        <color rgb="FF1F3864"/>
      </bottom>
      <diagonal/>
    </border>
    <border>
      <left/>
      <right style="medium">
        <color rgb="FF1F3864"/>
      </right>
      <top style="thin">
        <color rgb="FFD6E4F0"/>
      </top>
      <bottom style="medium">
        <color rgb="FF1F38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7030A0"/>
      </left>
      <right style="thin">
        <color rgb="FFB4C6E7"/>
      </right>
      <top style="medium">
        <color rgb="FF7030A0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7030A0"/>
      </top>
      <bottom style="thin">
        <color rgb="FFB4C6E7"/>
      </bottom>
      <diagonal/>
    </border>
    <border>
      <left style="thin">
        <color rgb="FFB4C6E7"/>
      </left>
      <right style="medium">
        <color rgb="FF7030A0"/>
      </right>
      <top style="medium">
        <color rgb="FF7030A0"/>
      </top>
      <bottom style="thin">
        <color rgb="FFB4C6E7"/>
      </bottom>
      <diagonal/>
    </border>
    <border>
      <left style="medium">
        <color rgb="FF7030A0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7030A0"/>
      </right>
      <top style="thin">
        <color rgb="FFB4C6E7"/>
      </top>
      <bottom style="thin">
        <color rgb="FFB4C6E7"/>
      </bottom>
      <diagonal/>
    </border>
    <border>
      <left style="medium">
        <color rgb="FF7030A0"/>
      </left>
      <right style="thin">
        <color rgb="FFB4C6E7"/>
      </right>
      <top style="thin">
        <color rgb="FFB4C6E7"/>
      </top>
      <bottom style="medium">
        <color rgb="FF7030A0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7030A0"/>
      </bottom>
      <diagonal/>
    </border>
    <border>
      <left style="thin">
        <color rgb="FFB4C6E7"/>
      </left>
      <right style="medium">
        <color rgb="FF7030A0"/>
      </right>
      <top style="thin">
        <color rgb="FFB4C6E7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 style="thin">
        <color rgb="FFD6C6E7"/>
      </bottom>
      <diagonal/>
    </border>
    <border>
      <left/>
      <right/>
      <top style="medium">
        <color rgb="FF7030A0"/>
      </top>
      <bottom style="thin">
        <color rgb="FFD6C6E7"/>
      </bottom>
      <diagonal/>
    </border>
    <border>
      <left/>
      <right style="medium">
        <color rgb="FF7030A0"/>
      </right>
      <top style="medium">
        <color rgb="FF7030A0"/>
      </top>
      <bottom style="thin">
        <color rgb="FFD6C6E7"/>
      </bottom>
      <diagonal/>
    </border>
    <border>
      <left style="medium">
        <color rgb="FF7030A0"/>
      </left>
      <right/>
      <top style="thin">
        <color rgb="FFD6C6E7"/>
      </top>
      <bottom style="thin">
        <color rgb="FFD6C6E7"/>
      </bottom>
      <diagonal/>
    </border>
    <border>
      <left/>
      <right/>
      <top style="thin">
        <color rgb="FFD6C6E7"/>
      </top>
      <bottom style="thin">
        <color rgb="FFD6C6E7"/>
      </bottom>
      <diagonal/>
    </border>
    <border>
      <left/>
      <right style="medium">
        <color rgb="FF7030A0"/>
      </right>
      <top style="thin">
        <color rgb="FFD6C6E7"/>
      </top>
      <bottom style="thin">
        <color rgb="FFD6C6E7"/>
      </bottom>
      <diagonal/>
    </border>
    <border>
      <left style="medium">
        <color rgb="FF7030A0"/>
      </left>
      <right/>
      <top style="thin">
        <color rgb="FFD6C6E7"/>
      </top>
      <bottom style="medium">
        <color rgb="FF7030A0"/>
      </bottom>
      <diagonal/>
    </border>
    <border>
      <left/>
      <right/>
      <top style="thin">
        <color rgb="FFD6C6E7"/>
      </top>
      <bottom style="medium">
        <color rgb="FF7030A0"/>
      </bottom>
      <diagonal/>
    </border>
    <border>
      <left/>
      <right style="medium">
        <color rgb="FF7030A0"/>
      </right>
      <top style="thin">
        <color rgb="FFD6C6E7"/>
      </top>
      <bottom style="medium">
        <color rgb="FF7030A0"/>
      </bottom>
      <diagonal/>
    </border>
    <border>
      <left style="medium">
        <color rgb="FF2E75B6"/>
      </left>
      <right style="thin">
        <color rgb="FFB4C6E7"/>
      </right>
      <top style="medium">
        <color rgb="FF2E75B6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2E75B6"/>
      </top>
      <bottom style="thin">
        <color rgb="FFB4C6E7"/>
      </bottom>
      <diagonal/>
    </border>
    <border>
      <left style="thin">
        <color rgb="FFB4C6E7"/>
      </left>
      <right style="medium">
        <color rgb="FF2E75B6"/>
      </right>
      <top style="medium">
        <color rgb="FF2E75B6"/>
      </top>
      <bottom style="thin">
        <color rgb="FFB4C6E7"/>
      </bottom>
      <diagonal/>
    </border>
    <border>
      <left style="medium">
        <color rgb="FF2E75B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2E75B6"/>
      </right>
      <top style="thin">
        <color rgb="FFB4C6E7"/>
      </top>
      <bottom style="thin">
        <color rgb="FFB4C6E7"/>
      </bottom>
      <diagonal/>
    </border>
    <border>
      <left style="medium">
        <color rgb="FF2E75B6"/>
      </left>
      <right style="thin">
        <color rgb="FFB4C6E7"/>
      </right>
      <top style="thin">
        <color rgb="FFB4C6E7"/>
      </top>
      <bottom style="medium">
        <color rgb="FF2E75B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E75B6"/>
      </bottom>
      <diagonal/>
    </border>
    <border>
      <left style="thin">
        <color rgb="FFB4C6E7"/>
      </left>
      <right style="medium">
        <color rgb="FF2E75B6"/>
      </right>
      <top style="thin">
        <color rgb="FFB4C6E7"/>
      </top>
      <bottom style="medium">
        <color rgb="FF2E75B6"/>
      </bottom>
      <diagonal/>
    </border>
    <border>
      <left style="medium">
        <color rgb="FF385723"/>
      </left>
      <right style="thin">
        <color rgb="FFC6EFCE"/>
      </right>
      <top style="medium">
        <color rgb="FF385723"/>
      </top>
      <bottom style="thin">
        <color rgb="FFC6EFCE"/>
      </bottom>
      <diagonal/>
    </border>
    <border>
      <left style="thin">
        <color rgb="FFC6EFCE"/>
      </left>
      <right style="thin">
        <color rgb="FFC6EFCE"/>
      </right>
      <top style="medium">
        <color rgb="FF385723"/>
      </top>
      <bottom style="thin">
        <color rgb="FFC6EFCE"/>
      </bottom>
      <diagonal/>
    </border>
    <border>
      <left style="thin">
        <color rgb="FFC6EFCE"/>
      </left>
      <right style="medium">
        <color rgb="FF385723"/>
      </right>
      <top style="medium">
        <color rgb="FF385723"/>
      </top>
      <bottom style="thin">
        <color rgb="FFC6EFCE"/>
      </bottom>
      <diagonal/>
    </border>
    <border>
      <left style="medium">
        <color rgb="FF385723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 style="thin">
        <color rgb="FFC6EFCE"/>
      </left>
      <right style="medium">
        <color rgb="FF385723"/>
      </right>
      <top style="thin">
        <color rgb="FFC6EFCE"/>
      </top>
      <bottom style="thin">
        <color rgb="FFC6EFCE"/>
      </bottom>
      <diagonal/>
    </border>
    <border>
      <left style="medium">
        <color rgb="FF385723"/>
      </left>
      <right style="thin">
        <color rgb="FFC6EFCE"/>
      </right>
      <top style="thin">
        <color rgb="FFC6EFCE"/>
      </top>
      <bottom style="medium">
        <color rgb="FF385723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medium">
        <color rgb="FF385723"/>
      </bottom>
      <diagonal/>
    </border>
    <border>
      <left style="thin">
        <color rgb="FFC6EFCE"/>
      </left>
      <right style="medium">
        <color rgb="FF385723"/>
      </right>
      <top style="thin">
        <color rgb="FFC6EFCE"/>
      </top>
      <bottom style="medium">
        <color rgb="FF385723"/>
      </bottom>
      <diagonal/>
    </border>
    <border>
      <left style="medium">
        <color rgb="FF7030A0"/>
      </left>
      <right style="thin">
        <color rgb="FFD6C6E7"/>
      </right>
      <top style="medium">
        <color rgb="FF7030A0"/>
      </top>
      <bottom style="thin">
        <color rgb="FFD6C6E7"/>
      </bottom>
      <diagonal/>
    </border>
    <border>
      <left style="thin">
        <color rgb="FFD6C6E7"/>
      </left>
      <right style="thin">
        <color rgb="FFD6C6E7"/>
      </right>
      <top style="medium">
        <color rgb="FF7030A0"/>
      </top>
      <bottom style="thin">
        <color rgb="FFD6C6E7"/>
      </bottom>
      <diagonal/>
    </border>
    <border>
      <left style="thin">
        <color rgb="FFD6C6E7"/>
      </left>
      <right style="medium">
        <color rgb="FF7030A0"/>
      </right>
      <top style="medium">
        <color rgb="FF7030A0"/>
      </top>
      <bottom style="thin">
        <color rgb="FFD6C6E7"/>
      </bottom>
      <diagonal/>
    </border>
    <border>
      <left style="medium">
        <color rgb="FF7030A0"/>
      </left>
      <right style="thin">
        <color rgb="FFD6C6E7"/>
      </right>
      <top style="thin">
        <color rgb="FFD6C6E7"/>
      </top>
      <bottom style="thin">
        <color rgb="FFD6C6E7"/>
      </bottom>
      <diagonal/>
    </border>
    <border>
      <left style="thin">
        <color rgb="FFD6C6E7"/>
      </left>
      <right style="thin">
        <color rgb="FFD6C6E7"/>
      </right>
      <top style="thin">
        <color rgb="FFD6C6E7"/>
      </top>
      <bottom style="thin">
        <color rgb="FFD6C6E7"/>
      </bottom>
      <diagonal/>
    </border>
    <border>
      <left style="thin">
        <color rgb="FFD6C6E7"/>
      </left>
      <right style="medium">
        <color rgb="FF7030A0"/>
      </right>
      <top style="thin">
        <color rgb="FFD6C6E7"/>
      </top>
      <bottom style="thin">
        <color rgb="FFD6C6E7"/>
      </bottom>
      <diagonal/>
    </border>
    <border>
      <left style="medium">
        <color rgb="FF7030A0"/>
      </left>
      <right style="thin">
        <color rgb="FFD6C6E7"/>
      </right>
      <top style="thin">
        <color rgb="FFD6C6E7"/>
      </top>
      <bottom style="medium">
        <color rgb="FF7030A0"/>
      </bottom>
      <diagonal/>
    </border>
    <border>
      <left style="thin">
        <color rgb="FFD6C6E7"/>
      </left>
      <right style="thin">
        <color rgb="FFD6C6E7"/>
      </right>
      <top style="thin">
        <color rgb="FFD6C6E7"/>
      </top>
      <bottom style="medium">
        <color rgb="FF7030A0"/>
      </bottom>
      <diagonal/>
    </border>
    <border>
      <left style="thin">
        <color rgb="FFD6C6E7"/>
      </left>
      <right style="medium">
        <color rgb="FF7030A0"/>
      </right>
      <top style="thin">
        <color rgb="FFD6C6E7"/>
      </top>
      <bottom style="medium">
        <color rgb="FF7030A0"/>
      </bottom>
      <diagonal/>
    </border>
    <border>
      <left style="thin">
        <color rgb="FFC6EFCE"/>
      </left>
      <right/>
      <top/>
      <bottom/>
      <diagonal/>
    </border>
    <border>
      <left style="medium">
        <color auto="1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medium">
        <color auto="1"/>
      </right>
      <top style="thin">
        <color rgb="FFB4C6E7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</cellStyleXfs>
  <cellXfs count="386">
    <xf numFmtId="0" fontId="0" fillId="0" borderId="0" xfId="0"/>
    <xf numFmtId="0" fontId="2" fillId="2" borderId="0" xfId="0" applyFont="1" applyFill="1"/>
    <xf numFmtId="10" fontId="3" fillId="3" borderId="0" xfId="0" applyNumberFormat="1" applyFont="1" applyFill="1"/>
    <xf numFmtId="0" fontId="3" fillId="3" borderId="0" xfId="0" applyFont="1" applyFill="1"/>
    <xf numFmtId="164" fontId="3" fillId="3" borderId="0" xfId="0" applyNumberFormat="1" applyFont="1" applyFill="1"/>
    <xf numFmtId="0" fontId="2" fillId="2" borderId="0" xfId="0" applyFont="1" applyFill="1" applyAlignment="1">
      <alignment horizontal="center" wrapText="1"/>
    </xf>
    <xf numFmtId="0" fontId="3" fillId="0" borderId="0" xfId="0" applyFont="1"/>
    <xf numFmtId="14" fontId="3" fillId="0" borderId="0" xfId="0" applyNumberFormat="1" applyFont="1"/>
    <xf numFmtId="165" fontId="4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  <xf numFmtId="0" fontId="4" fillId="0" borderId="0" xfId="0" applyFont="1" applyAlignment="1">
      <alignment horizontal="center"/>
    </xf>
    <xf numFmtId="164" fontId="7" fillId="4" borderId="0" xfId="0" applyNumberFormat="1" applyFont="1" applyFill="1"/>
    <xf numFmtId="164" fontId="7" fillId="3" borderId="0" xfId="0" applyNumberFormat="1" applyFont="1" applyFill="1"/>
    <xf numFmtId="164" fontId="8" fillId="5" borderId="0" xfId="0" applyNumberFormat="1" applyFont="1" applyFill="1"/>
    <xf numFmtId="0" fontId="4" fillId="0" borderId="0" xfId="0" applyFont="1"/>
    <xf numFmtId="166" fontId="4" fillId="0" borderId="0" xfId="0" applyNumberFormat="1" applyFont="1"/>
    <xf numFmtId="164" fontId="11" fillId="3" borderId="0" xfId="0" applyNumberFormat="1" applyFont="1" applyFill="1"/>
    <xf numFmtId="165" fontId="9" fillId="0" borderId="0" xfId="0" applyNumberFormat="1" applyFont="1"/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6" fontId="0" fillId="0" borderId="1" xfId="0" applyNumberFormat="1" applyBorder="1"/>
    <xf numFmtId="167" fontId="0" fillId="0" borderId="1" xfId="0" applyNumberFormat="1" applyBorder="1"/>
    <xf numFmtId="0" fontId="16" fillId="8" borderId="2" xfId="0" applyFont="1" applyFill="1" applyBorder="1" applyAlignment="1">
      <alignment horizontal="center" wrapText="1"/>
    </xf>
    <xf numFmtId="0" fontId="16" fillId="8" borderId="2" xfId="0" applyFont="1" applyFill="1" applyBorder="1" applyAlignment="1">
      <alignment horizontal="center"/>
    </xf>
    <xf numFmtId="0" fontId="17" fillId="6" borderId="3" xfId="0" applyFont="1" applyFill="1" applyBorder="1" applyAlignment="1">
      <alignment wrapText="1"/>
    </xf>
    <xf numFmtId="166" fontId="17" fillId="6" borderId="3" xfId="0" applyNumberFormat="1" applyFont="1" applyFill="1" applyBorder="1"/>
    <xf numFmtId="167" fontId="17" fillId="6" borderId="3" xfId="0" applyNumberFormat="1" applyFont="1" applyFill="1" applyBorder="1"/>
    <xf numFmtId="0" fontId="16" fillId="8" borderId="4" xfId="0" applyFont="1" applyFill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7" fillId="6" borderId="6" xfId="0" applyFont="1" applyFill="1" applyBorder="1" applyAlignment="1">
      <alignment wrapText="1"/>
    </xf>
    <xf numFmtId="0" fontId="16" fillId="8" borderId="7" xfId="0" applyFont="1" applyFill="1" applyBorder="1" applyAlignment="1">
      <alignment horizontal="center"/>
    </xf>
    <xf numFmtId="165" fontId="0" fillId="0" borderId="8" xfId="0" applyNumberFormat="1" applyBorder="1"/>
    <xf numFmtId="165" fontId="17" fillId="6" borderId="9" xfId="0" applyNumberFormat="1" applyFont="1" applyFill="1" applyBorder="1"/>
    <xf numFmtId="166" fontId="0" fillId="0" borderId="8" xfId="0" applyNumberFormat="1" applyBorder="1"/>
    <xf numFmtId="166" fontId="17" fillId="6" borderId="9" xfId="0" applyNumberFormat="1" applyFont="1" applyFill="1" applyBorder="1"/>
    <xf numFmtId="0" fontId="13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166" fontId="13" fillId="0" borderId="1" xfId="0" applyNumberFormat="1" applyFont="1" applyBorder="1" applyAlignment="1">
      <alignment horizontal="center" wrapText="1"/>
    </xf>
    <xf numFmtId="165" fontId="13" fillId="0" borderId="1" xfId="0" applyNumberFormat="1" applyFont="1" applyBorder="1" applyAlignment="1">
      <alignment horizontal="center" wrapText="1"/>
    </xf>
    <xf numFmtId="167" fontId="13" fillId="0" borderId="1" xfId="0" applyNumberFormat="1" applyFont="1" applyBorder="1" applyAlignment="1">
      <alignment horizontal="center" wrapText="1"/>
    </xf>
    <xf numFmtId="0" fontId="16" fillId="8" borderId="2" xfId="0" applyFont="1" applyFill="1" applyBorder="1" applyAlignment="1">
      <alignment wrapText="1"/>
    </xf>
    <xf numFmtId="0" fontId="18" fillId="0" borderId="3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16" fillId="8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6" fillId="8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167" fontId="19" fillId="0" borderId="1" xfId="0" applyNumberFormat="1" applyFont="1" applyBorder="1" applyAlignment="1">
      <alignment horizontal="center" wrapText="1"/>
    </xf>
    <xf numFmtId="2" fontId="13" fillId="0" borderId="1" xfId="0" applyNumberFormat="1" applyFont="1" applyBorder="1" applyAlignment="1">
      <alignment horizontal="center" wrapText="1"/>
    </xf>
    <xf numFmtId="9" fontId="13" fillId="0" borderId="3" xfId="0" applyNumberFormat="1" applyFont="1" applyBorder="1" applyAlignment="1">
      <alignment horizontal="center" wrapText="1"/>
    </xf>
    <xf numFmtId="0" fontId="0" fillId="0" borderId="8" xfId="0" quotePrefix="1" applyBorder="1" applyAlignment="1">
      <alignment wrapText="1"/>
    </xf>
    <xf numFmtId="0" fontId="2" fillId="13" borderId="0" xfId="0" applyFont="1" applyFill="1"/>
    <xf numFmtId="0" fontId="0" fillId="14" borderId="0" xfId="0" applyFill="1"/>
    <xf numFmtId="0" fontId="5" fillId="0" borderId="0" xfId="0" applyFont="1" applyAlignment="1">
      <alignment horizontal="center"/>
    </xf>
    <xf numFmtId="0" fontId="20" fillId="0" borderId="0" xfId="0" applyFont="1"/>
    <xf numFmtId="0" fontId="21" fillId="2" borderId="0" xfId="0" applyFont="1" applyFill="1" applyAlignment="1">
      <alignment horizontal="center" wrapText="1"/>
    </xf>
    <xf numFmtId="43" fontId="0" fillId="0" borderId="0" xfId="1" applyFont="1" applyAlignment="1"/>
    <xf numFmtId="43" fontId="3" fillId="0" borderId="0" xfId="1" applyFont="1"/>
    <xf numFmtId="43" fontId="0" fillId="0" borderId="0" xfId="1" applyFont="1"/>
    <xf numFmtId="0" fontId="25" fillId="7" borderId="0" xfId="0" applyFont="1" applyFill="1" applyAlignment="1">
      <alignment horizontal="center"/>
    </xf>
    <xf numFmtId="0" fontId="25" fillId="9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0" fontId="25" fillId="17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6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3" fillId="8" borderId="2" xfId="0" applyFont="1" applyFill="1" applyBorder="1" applyAlignment="1">
      <alignment horizontal="center"/>
    </xf>
    <xf numFmtId="0" fontId="0" fillId="0" borderId="3" xfId="0" applyBorder="1"/>
    <xf numFmtId="166" fontId="0" fillId="0" borderId="3" xfId="0" applyNumberFormat="1" applyBorder="1"/>
    <xf numFmtId="0" fontId="13" fillId="8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3" fillId="8" borderId="7" xfId="0" applyFont="1" applyFill="1" applyBorder="1" applyAlignment="1">
      <alignment horizontal="center"/>
    </xf>
    <xf numFmtId="3" fontId="0" fillId="0" borderId="8" xfId="0" applyNumberFormat="1" applyBorder="1"/>
    <xf numFmtId="3" fontId="0" fillId="0" borderId="9" xfId="0" applyNumberFormat="1" applyBorder="1"/>
    <xf numFmtId="0" fontId="0" fillId="0" borderId="8" xfId="0" applyBorder="1"/>
    <xf numFmtId="0" fontId="0" fillId="0" borderId="9" xfId="0" applyBorder="1"/>
    <xf numFmtId="0" fontId="1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37" fillId="8" borderId="14" xfId="0" applyFont="1" applyFill="1" applyBorder="1" applyAlignment="1">
      <alignment horizontal="center"/>
    </xf>
    <xf numFmtId="0" fontId="37" fillId="8" borderId="15" xfId="0" applyFont="1" applyFill="1" applyBorder="1" applyAlignment="1">
      <alignment horizontal="center"/>
    </xf>
    <xf numFmtId="0" fontId="38" fillId="9" borderId="14" xfId="0" applyFont="1" applyFill="1" applyBorder="1" applyAlignment="1">
      <alignment horizontal="center"/>
    </xf>
    <xf numFmtId="0" fontId="37" fillId="8" borderId="18" xfId="0" applyFont="1" applyFill="1" applyBorder="1" applyAlignment="1">
      <alignment horizontal="center"/>
    </xf>
    <xf numFmtId="0" fontId="41" fillId="0" borderId="21" xfId="0" applyFont="1" applyBorder="1" applyAlignment="1">
      <alignment horizontal="center"/>
    </xf>
    <xf numFmtId="0" fontId="42" fillId="0" borderId="21" xfId="0" applyFont="1" applyBorder="1" applyAlignment="1">
      <alignment horizontal="center"/>
    </xf>
    <xf numFmtId="0" fontId="43" fillId="0" borderId="21" xfId="0" applyFont="1" applyBorder="1" applyAlignment="1">
      <alignment horizontal="center"/>
    </xf>
    <xf numFmtId="166" fontId="41" fillId="0" borderId="22" xfId="0" applyNumberFormat="1" applyFont="1" applyBorder="1" applyAlignment="1">
      <alignment horizontal="center"/>
    </xf>
    <xf numFmtId="0" fontId="41" fillId="20" borderId="24" xfId="0" applyFont="1" applyFill="1" applyBorder="1" applyAlignment="1">
      <alignment horizontal="center"/>
    </xf>
    <xf numFmtId="0" fontId="42" fillId="20" borderId="24" xfId="0" applyFont="1" applyFill="1" applyBorder="1" applyAlignment="1">
      <alignment horizontal="center"/>
    </xf>
    <xf numFmtId="0" fontId="43" fillId="20" borderId="24" xfId="0" applyFont="1" applyFill="1" applyBorder="1" applyAlignment="1">
      <alignment horizontal="center"/>
    </xf>
    <xf numFmtId="166" fontId="41" fillId="20" borderId="25" xfId="0" applyNumberFormat="1" applyFont="1" applyFill="1" applyBorder="1" applyAlignment="1">
      <alignment horizontal="center"/>
    </xf>
    <xf numFmtId="0" fontId="41" fillId="0" borderId="24" xfId="0" applyFont="1" applyBorder="1" applyAlignment="1">
      <alignment horizontal="center"/>
    </xf>
    <xf numFmtId="0" fontId="42" fillId="0" borderId="24" xfId="0" applyFont="1" applyBorder="1" applyAlignment="1">
      <alignment horizontal="center"/>
    </xf>
    <xf numFmtId="0" fontId="43" fillId="0" borderId="24" xfId="0" applyFont="1" applyBorder="1" applyAlignment="1">
      <alignment horizontal="center"/>
    </xf>
    <xf numFmtId="166" fontId="41" fillId="0" borderId="25" xfId="0" applyNumberFormat="1" applyFont="1" applyBorder="1" applyAlignment="1">
      <alignment horizontal="center"/>
    </xf>
    <xf numFmtId="0" fontId="38" fillId="6" borderId="27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166" fontId="38" fillId="6" borderId="28" xfId="0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6" fontId="40" fillId="0" borderId="17" xfId="0" applyNumberFormat="1" applyFont="1" applyBorder="1" applyAlignment="1">
      <alignment horizontal="center"/>
    </xf>
    <xf numFmtId="167" fontId="40" fillId="0" borderId="19" xfId="0" applyNumberFormat="1" applyFont="1" applyBorder="1" applyAlignment="1">
      <alignment horizontal="center"/>
    </xf>
    <xf numFmtId="0" fontId="40" fillId="0" borderId="21" xfId="0" applyFont="1" applyBorder="1" applyAlignment="1">
      <alignment horizontal="center"/>
    </xf>
    <xf numFmtId="0" fontId="44" fillId="0" borderId="21" xfId="0" applyFont="1" applyBorder="1" applyAlignment="1">
      <alignment horizontal="center"/>
    </xf>
    <xf numFmtId="166" fontId="40" fillId="0" borderId="21" xfId="0" applyNumberFormat="1" applyFont="1" applyBorder="1" applyAlignment="1">
      <alignment horizontal="center"/>
    </xf>
    <xf numFmtId="167" fontId="40" fillId="0" borderId="22" xfId="0" applyNumberFormat="1" applyFont="1" applyBorder="1" applyAlignment="1">
      <alignment horizontal="center"/>
    </xf>
    <xf numFmtId="0" fontId="40" fillId="20" borderId="24" xfId="0" applyFont="1" applyFill="1" applyBorder="1" applyAlignment="1">
      <alignment horizontal="center"/>
    </xf>
    <xf numFmtId="0" fontId="44" fillId="20" borderId="24" xfId="0" applyFont="1" applyFill="1" applyBorder="1" applyAlignment="1">
      <alignment horizontal="center"/>
    </xf>
    <xf numFmtId="166" fontId="40" fillId="20" borderId="24" xfId="0" applyNumberFormat="1" applyFont="1" applyFill="1" applyBorder="1" applyAlignment="1">
      <alignment horizontal="center"/>
    </xf>
    <xf numFmtId="167" fontId="40" fillId="20" borderId="25" xfId="0" applyNumberFormat="1" applyFont="1" applyFill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44" fillId="0" borderId="24" xfId="0" applyFont="1" applyBorder="1" applyAlignment="1">
      <alignment horizontal="center"/>
    </xf>
    <xf numFmtId="166" fontId="40" fillId="0" borderId="24" xfId="0" applyNumberFormat="1" applyFont="1" applyBorder="1" applyAlignment="1">
      <alignment horizontal="center"/>
    </xf>
    <xf numFmtId="167" fontId="40" fillId="0" borderId="25" xfId="0" applyNumberFormat="1" applyFont="1" applyBorder="1" applyAlignment="1">
      <alignment horizontal="center"/>
    </xf>
    <xf numFmtId="0" fontId="25" fillId="6" borderId="29" xfId="0" applyFont="1" applyFill="1" applyBorder="1" applyAlignment="1">
      <alignment horizontal="center"/>
    </xf>
    <xf numFmtId="166" fontId="25" fillId="6" borderId="29" xfId="0" applyNumberFormat="1" applyFont="1" applyFill="1" applyBorder="1" applyAlignment="1">
      <alignment horizontal="center"/>
    </xf>
    <xf numFmtId="167" fontId="25" fillId="6" borderId="29" xfId="0" applyNumberFormat="1" applyFont="1" applyFill="1" applyBorder="1" applyAlignment="1">
      <alignment horizontal="center"/>
    </xf>
    <xf numFmtId="167" fontId="25" fillId="6" borderId="31" xfId="0" applyNumberFormat="1" applyFont="1" applyFill="1" applyBorder="1" applyAlignment="1">
      <alignment horizontal="center"/>
    </xf>
    <xf numFmtId="166" fontId="40" fillId="0" borderId="22" xfId="0" applyNumberFormat="1" applyFont="1" applyBorder="1" applyAlignment="1">
      <alignment horizontal="center"/>
    </xf>
    <xf numFmtId="166" fontId="40" fillId="20" borderId="25" xfId="0" applyNumberFormat="1" applyFont="1" applyFill="1" applyBorder="1" applyAlignment="1">
      <alignment horizontal="center"/>
    </xf>
    <xf numFmtId="166" fontId="25" fillId="6" borderId="31" xfId="0" applyNumberFormat="1" applyFont="1" applyFill="1" applyBorder="1" applyAlignment="1">
      <alignment horizontal="center"/>
    </xf>
    <xf numFmtId="166" fontId="40" fillId="0" borderId="25" xfId="0" applyNumberFormat="1" applyFont="1" applyBorder="1" applyAlignment="1">
      <alignment horizontal="center"/>
    </xf>
    <xf numFmtId="0" fontId="40" fillId="20" borderId="17" xfId="0" applyFont="1" applyFill="1" applyBorder="1" applyAlignment="1">
      <alignment horizontal="center"/>
    </xf>
    <xf numFmtId="0" fontId="44" fillId="20" borderId="17" xfId="0" applyFont="1" applyFill="1" applyBorder="1" applyAlignment="1">
      <alignment horizontal="center"/>
    </xf>
    <xf numFmtId="166" fontId="40" fillId="20" borderId="17" xfId="0" applyNumberFormat="1" applyFont="1" applyFill="1" applyBorder="1" applyAlignment="1">
      <alignment horizontal="center"/>
    </xf>
    <xf numFmtId="167" fontId="40" fillId="20" borderId="19" xfId="0" applyNumberFormat="1" applyFont="1" applyFill="1" applyBorder="1" applyAlignment="1">
      <alignment horizontal="center"/>
    </xf>
    <xf numFmtId="0" fontId="40" fillId="20" borderId="21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44" fillId="20" borderId="21" xfId="0" applyFont="1" applyFill="1" applyBorder="1" applyAlignment="1">
      <alignment horizontal="center"/>
    </xf>
    <xf numFmtId="166" fontId="25" fillId="0" borderId="0" xfId="0" applyNumberFormat="1" applyFont="1" applyAlignment="1">
      <alignment horizontal="center"/>
    </xf>
    <xf numFmtId="166" fontId="40" fillId="20" borderId="21" xfId="0" applyNumberFormat="1" applyFont="1" applyFill="1" applyBorder="1" applyAlignment="1">
      <alignment horizontal="center"/>
    </xf>
    <xf numFmtId="167" fontId="40" fillId="20" borderId="22" xfId="0" applyNumberFormat="1" applyFont="1" applyFill="1" applyBorder="1" applyAlignment="1">
      <alignment horizontal="center"/>
    </xf>
    <xf numFmtId="0" fontId="46" fillId="8" borderId="14" xfId="0" applyFont="1" applyFill="1" applyBorder="1" applyAlignment="1">
      <alignment horizontal="center"/>
    </xf>
    <xf numFmtId="0" fontId="25" fillId="9" borderId="14" xfId="0" applyFont="1" applyFill="1" applyBorder="1" applyAlignment="1">
      <alignment horizontal="center"/>
    </xf>
    <xf numFmtId="0" fontId="46" fillId="8" borderId="18" xfId="0" applyFont="1" applyFill="1" applyBorder="1" applyAlignment="1">
      <alignment horizontal="center"/>
    </xf>
    <xf numFmtId="167" fontId="40" fillId="0" borderId="21" xfId="0" applyNumberFormat="1" applyFont="1" applyBorder="1" applyAlignment="1">
      <alignment horizontal="center"/>
    </xf>
    <xf numFmtId="167" fontId="40" fillId="20" borderId="24" xfId="0" applyNumberFormat="1" applyFont="1" applyFill="1" applyBorder="1" applyAlignment="1">
      <alignment horizontal="center"/>
    </xf>
    <xf numFmtId="167" fontId="40" fillId="0" borderId="24" xfId="0" applyNumberFormat="1" applyFont="1" applyBorder="1" applyAlignment="1">
      <alignment horizontal="center"/>
    </xf>
    <xf numFmtId="0" fontId="36" fillId="7" borderId="0" xfId="0" applyFont="1" applyFill="1" applyAlignment="1">
      <alignment vertical="center" wrapText="1"/>
    </xf>
    <xf numFmtId="0" fontId="37" fillId="8" borderId="16" xfId="0" applyFont="1" applyFill="1" applyBorder="1" applyAlignment="1">
      <alignment horizontal="center" vertical="center" wrapText="1"/>
    </xf>
    <xf numFmtId="0" fontId="39" fillId="19" borderId="20" xfId="0" applyFont="1" applyFill="1" applyBorder="1" applyAlignment="1">
      <alignment vertical="center" wrapText="1"/>
    </xf>
    <xf numFmtId="0" fontId="39" fillId="20" borderId="23" xfId="0" applyFont="1" applyFill="1" applyBorder="1" applyAlignment="1">
      <alignment vertical="center" wrapText="1"/>
    </xf>
    <xf numFmtId="0" fontId="39" fillId="19" borderId="23" xfId="0" applyFont="1" applyFill="1" applyBorder="1" applyAlignment="1">
      <alignment vertical="center" wrapText="1"/>
    </xf>
    <xf numFmtId="0" fontId="38" fillId="6" borderId="2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2" fillId="19" borderId="20" xfId="0" applyFont="1" applyFill="1" applyBorder="1" applyAlignment="1">
      <alignment vertical="center" wrapText="1"/>
    </xf>
    <xf numFmtId="0" fontId="42" fillId="20" borderId="23" xfId="0" applyFont="1" applyFill="1" applyBorder="1" applyAlignment="1">
      <alignment vertical="center" wrapText="1"/>
    </xf>
    <xf numFmtId="0" fontId="42" fillId="19" borderId="23" xfId="0" applyFont="1" applyFill="1" applyBorder="1" applyAlignment="1">
      <alignment vertical="center" wrapText="1"/>
    </xf>
    <xf numFmtId="0" fontId="38" fillId="6" borderId="30" xfId="0" applyFont="1" applyFill="1" applyBorder="1" applyAlignment="1">
      <alignment horizontal="center" vertical="center" wrapText="1"/>
    </xf>
    <xf numFmtId="0" fontId="36" fillId="16" borderId="0" xfId="0" applyFont="1" applyFill="1" applyAlignment="1">
      <alignment vertical="center" wrapText="1"/>
    </xf>
    <xf numFmtId="0" fontId="45" fillId="19" borderId="20" xfId="0" applyFont="1" applyFill="1" applyBorder="1" applyAlignment="1">
      <alignment vertical="center" wrapText="1"/>
    </xf>
    <xf numFmtId="0" fontId="45" fillId="20" borderId="20" xfId="0" applyFont="1" applyFill="1" applyBorder="1" applyAlignment="1">
      <alignment vertical="center" wrapText="1"/>
    </xf>
    <xf numFmtId="0" fontId="45" fillId="19" borderId="23" xfId="0" applyFont="1" applyFill="1" applyBorder="1" applyAlignment="1">
      <alignment vertical="center" wrapText="1"/>
    </xf>
    <xf numFmtId="0" fontId="45" fillId="20" borderId="23" xfId="0" applyFont="1" applyFill="1" applyBorder="1" applyAlignment="1">
      <alignment vertical="center" wrapText="1"/>
    </xf>
    <xf numFmtId="0" fontId="25" fillId="6" borderId="3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6" fillId="11" borderId="0" xfId="0" applyFont="1" applyFill="1" applyAlignment="1">
      <alignment vertical="center" wrapText="1"/>
    </xf>
    <xf numFmtId="0" fontId="36" fillId="17" borderId="0" xfId="0" applyFont="1" applyFill="1" applyAlignment="1">
      <alignment vertical="center" wrapText="1"/>
    </xf>
    <xf numFmtId="0" fontId="36" fillId="9" borderId="0" xfId="0" applyFont="1" applyFill="1" applyAlignment="1">
      <alignment vertical="center" wrapText="1"/>
    </xf>
    <xf numFmtId="0" fontId="46" fillId="8" borderId="16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166" fontId="38" fillId="0" borderId="0" xfId="0" applyNumberFormat="1" applyFont="1" applyAlignment="1">
      <alignment horizontal="center"/>
    </xf>
    <xf numFmtId="0" fontId="47" fillId="0" borderId="0" xfId="0" applyFont="1"/>
    <xf numFmtId="0" fontId="2" fillId="1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43" fontId="21" fillId="2" borderId="0" xfId="1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8" fontId="1" fillId="0" borderId="0" xfId="0" applyNumberFormat="1" applyFont="1"/>
    <xf numFmtId="168" fontId="2" fillId="15" borderId="0" xfId="0" applyNumberFormat="1" applyFont="1" applyFill="1" applyAlignment="1">
      <alignment horizontal="center" vertical="center" wrapText="1"/>
    </xf>
    <xf numFmtId="168" fontId="0" fillId="0" borderId="0" xfId="0" applyNumberFormat="1"/>
    <xf numFmtId="168" fontId="5" fillId="0" borderId="0" xfId="0" applyNumberFormat="1" applyFont="1" applyAlignment="1">
      <alignment horizontal="center"/>
    </xf>
    <xf numFmtId="0" fontId="21" fillId="1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21" fillId="2" borderId="0" xfId="0" applyNumberFormat="1" applyFont="1" applyFill="1"/>
    <xf numFmtId="0" fontId="17" fillId="21" borderId="0" xfId="0" applyFont="1" applyFill="1"/>
    <xf numFmtId="164" fontId="50" fillId="21" borderId="0" xfId="0" applyNumberFormat="1" applyFont="1" applyFill="1"/>
    <xf numFmtId="3" fontId="51" fillId="0" borderId="0" xfId="0" applyNumberFormat="1" applyFont="1" applyAlignment="1">
      <alignment horizontal="center"/>
    </xf>
    <xf numFmtId="3" fontId="31" fillId="0" borderId="0" xfId="0" applyNumberFormat="1" applyFont="1" applyAlignment="1">
      <alignment horizontal="center"/>
    </xf>
    <xf numFmtId="3" fontId="52" fillId="0" borderId="0" xfId="0" applyNumberFormat="1" applyFont="1" applyAlignment="1">
      <alignment horizontal="center"/>
    </xf>
    <xf numFmtId="2" fontId="51" fillId="0" borderId="0" xfId="0" applyNumberFormat="1" applyFont="1" applyAlignment="1">
      <alignment horizontal="center"/>
    </xf>
    <xf numFmtId="10" fontId="20" fillId="18" borderId="0" xfId="0" applyNumberFormat="1" applyFont="1" applyFill="1"/>
    <xf numFmtId="0" fontId="53" fillId="18" borderId="0" xfId="0" applyFont="1" applyFill="1"/>
    <xf numFmtId="0" fontId="17" fillId="21" borderId="33" xfId="0" applyFont="1" applyFill="1" applyBorder="1" applyAlignment="1">
      <alignment horizontal="center"/>
    </xf>
    <xf numFmtId="0" fontId="17" fillId="21" borderId="34" xfId="0" applyFont="1" applyFill="1" applyBorder="1" applyAlignment="1">
      <alignment horizontal="center"/>
    </xf>
    <xf numFmtId="0" fontId="17" fillId="21" borderId="35" xfId="0" applyFont="1" applyFill="1" applyBorder="1" applyAlignment="1">
      <alignment horizontal="center"/>
    </xf>
    <xf numFmtId="0" fontId="13" fillId="19" borderId="36" xfId="0" applyFont="1" applyFill="1" applyBorder="1"/>
    <xf numFmtId="166" fontId="48" fillId="18" borderId="1" xfId="0" applyNumberFormat="1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13" fillId="19" borderId="38" xfId="0" applyFont="1" applyFill="1" applyBorder="1"/>
    <xf numFmtId="0" fontId="0" fillId="0" borderId="40" xfId="0" applyBorder="1" applyAlignment="1">
      <alignment horizontal="center"/>
    </xf>
    <xf numFmtId="0" fontId="25" fillId="9" borderId="35" xfId="0" applyFont="1" applyFill="1" applyBorder="1" applyAlignment="1">
      <alignment horizontal="center"/>
    </xf>
    <xf numFmtId="0" fontId="45" fillId="0" borderId="36" xfId="0" applyFont="1" applyBorder="1"/>
    <xf numFmtId="0" fontId="0" fillId="0" borderId="39" xfId="0" applyBorder="1"/>
    <xf numFmtId="0" fontId="0" fillId="19" borderId="0" xfId="0" applyFill="1"/>
    <xf numFmtId="166" fontId="13" fillId="19" borderId="0" xfId="0" applyNumberFormat="1" applyFont="1" applyFill="1" applyAlignment="1">
      <alignment horizontal="center"/>
    </xf>
    <xf numFmtId="44" fontId="48" fillId="18" borderId="1" xfId="2" applyFont="1" applyFill="1" applyBorder="1" applyAlignment="1">
      <alignment horizontal="center"/>
    </xf>
    <xf numFmtId="14" fontId="48" fillId="18" borderId="39" xfId="0" applyNumberFormat="1" applyFont="1" applyFill="1" applyBorder="1" applyAlignment="1">
      <alignment horizontal="center"/>
    </xf>
    <xf numFmtId="0" fontId="0" fillId="0" borderId="33" xfId="0" applyBorder="1"/>
    <xf numFmtId="0" fontId="25" fillId="7" borderId="34" xfId="0" applyFont="1" applyFill="1" applyBorder="1" applyAlignment="1">
      <alignment horizontal="center"/>
    </xf>
    <xf numFmtId="0" fontId="25" fillId="11" borderId="34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167" fontId="40" fillId="0" borderId="1" xfId="0" applyNumberFormat="1" applyFont="1" applyBorder="1" applyAlignment="1">
      <alignment horizontal="center"/>
    </xf>
    <xf numFmtId="167" fontId="44" fillId="0" borderId="37" xfId="0" applyNumberFormat="1" applyFont="1" applyBorder="1" applyAlignment="1">
      <alignment horizontal="center"/>
    </xf>
    <xf numFmtId="0" fontId="57" fillId="0" borderId="36" xfId="0" applyFont="1" applyBorder="1"/>
    <xf numFmtId="167" fontId="58" fillId="0" borderId="1" xfId="0" applyNumberFormat="1" applyFont="1" applyBorder="1" applyAlignment="1">
      <alignment horizontal="center"/>
    </xf>
    <xf numFmtId="0" fontId="0" fillId="0" borderId="37" xfId="0" applyBorder="1"/>
    <xf numFmtId="0" fontId="34" fillId="0" borderId="38" xfId="0" applyFont="1" applyBorder="1"/>
    <xf numFmtId="2" fontId="59" fillId="0" borderId="39" xfId="0" applyNumberFormat="1" applyFont="1" applyBorder="1" applyAlignment="1">
      <alignment horizontal="center"/>
    </xf>
    <xf numFmtId="0" fontId="0" fillId="0" borderId="40" xfId="0" applyBorder="1"/>
    <xf numFmtId="167" fontId="25" fillId="17" borderId="43" xfId="0" applyNumberFormat="1" applyFont="1" applyFill="1" applyBorder="1" applyAlignment="1">
      <alignment horizontal="center"/>
    </xf>
    <xf numFmtId="167" fontId="40" fillId="0" borderId="46" xfId="0" applyNumberFormat="1" applyFont="1" applyBorder="1" applyAlignment="1">
      <alignment horizontal="center"/>
    </xf>
    <xf numFmtId="167" fontId="40" fillId="0" borderId="49" xfId="0" applyNumberFormat="1" applyFont="1" applyBorder="1" applyAlignment="1">
      <alignment horizontal="center"/>
    </xf>
    <xf numFmtId="0" fontId="46" fillId="8" borderId="50" xfId="0" applyFont="1" applyFill="1" applyBorder="1" applyAlignment="1">
      <alignment horizontal="center"/>
    </xf>
    <xf numFmtId="0" fontId="46" fillId="8" borderId="51" xfId="0" applyFont="1" applyFill="1" applyBorder="1" applyAlignment="1">
      <alignment horizontal="center"/>
    </xf>
    <xf numFmtId="0" fontId="46" fillId="8" borderId="52" xfId="0" applyFont="1" applyFill="1" applyBorder="1" applyAlignment="1">
      <alignment horizontal="center"/>
    </xf>
    <xf numFmtId="0" fontId="45" fillId="0" borderId="53" xfId="0" applyFont="1" applyBorder="1"/>
    <xf numFmtId="166" fontId="40" fillId="0" borderId="1" xfId="0" applyNumberFormat="1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40" fillId="0" borderId="54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165" fontId="40" fillId="0" borderId="1" xfId="0" applyNumberFormat="1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0" fillId="0" borderId="54" xfId="0" applyBorder="1"/>
    <xf numFmtId="0" fontId="45" fillId="0" borderId="55" xfId="0" applyFont="1" applyBorder="1"/>
    <xf numFmtId="167" fontId="40" fillId="0" borderId="56" xfId="0" applyNumberFormat="1" applyFont="1" applyBorder="1" applyAlignment="1">
      <alignment horizontal="center"/>
    </xf>
    <xf numFmtId="0" fontId="60" fillId="0" borderId="56" xfId="0" applyFont="1" applyBorder="1" applyAlignment="1">
      <alignment horizontal="center"/>
    </xf>
    <xf numFmtId="0" fontId="0" fillId="0" borderId="57" xfId="0" applyBorder="1"/>
    <xf numFmtId="0" fontId="46" fillId="8" borderId="58" xfId="0" applyFont="1" applyFill="1" applyBorder="1" applyAlignment="1">
      <alignment horizontal="center"/>
    </xf>
    <xf numFmtId="0" fontId="61" fillId="9" borderId="59" xfId="0" applyFont="1" applyFill="1" applyBorder="1" applyAlignment="1">
      <alignment horizontal="center" wrapText="1"/>
    </xf>
    <xf numFmtId="0" fontId="25" fillId="11" borderId="59" xfId="0" applyFont="1" applyFill="1" applyBorder="1" applyAlignment="1">
      <alignment horizontal="center"/>
    </xf>
    <xf numFmtId="0" fontId="25" fillId="6" borderId="60" xfId="0" applyFont="1" applyFill="1" applyBorder="1" applyAlignment="1">
      <alignment horizontal="center"/>
    </xf>
    <xf numFmtId="0" fontId="45" fillId="0" borderId="61" xfId="0" applyFont="1" applyBorder="1"/>
    <xf numFmtId="169" fontId="44" fillId="0" borderId="62" xfId="0" applyNumberFormat="1" applyFont="1" applyBorder="1" applyAlignment="1">
      <alignment horizontal="center"/>
    </xf>
    <xf numFmtId="169" fontId="40" fillId="0" borderId="62" xfId="0" applyNumberFormat="1" applyFont="1" applyBorder="1" applyAlignment="1">
      <alignment horizontal="center"/>
    </xf>
    <xf numFmtId="169" fontId="45" fillId="0" borderId="63" xfId="0" applyNumberFormat="1" applyFont="1" applyBorder="1" applyAlignment="1">
      <alignment horizontal="center"/>
    </xf>
    <xf numFmtId="167" fontId="54" fillId="0" borderId="62" xfId="0" applyNumberFormat="1" applyFont="1" applyBorder="1" applyAlignment="1">
      <alignment horizontal="center"/>
    </xf>
    <xf numFmtId="167" fontId="45" fillId="0" borderId="63" xfId="0" applyNumberFormat="1" applyFont="1" applyBorder="1" applyAlignment="1">
      <alignment horizontal="center"/>
    </xf>
    <xf numFmtId="169" fontId="45" fillId="0" borderId="62" xfId="0" applyNumberFormat="1" applyFont="1" applyBorder="1" applyAlignment="1">
      <alignment horizontal="center"/>
    </xf>
    <xf numFmtId="0" fontId="57" fillId="0" borderId="61" xfId="0" applyFont="1" applyBorder="1"/>
    <xf numFmtId="169" fontId="57" fillId="0" borderId="62" xfId="0" applyNumberFormat="1" applyFont="1" applyBorder="1" applyAlignment="1">
      <alignment horizontal="center"/>
    </xf>
    <xf numFmtId="0" fontId="0" fillId="0" borderId="63" xfId="0" applyBorder="1"/>
    <xf numFmtId="0" fontId="34" fillId="0" borderId="61" xfId="0" applyFont="1" applyBorder="1"/>
    <xf numFmtId="0" fontId="0" fillId="0" borderId="62" xfId="0" applyBorder="1"/>
    <xf numFmtId="0" fontId="0" fillId="0" borderId="62" xfId="0" applyBorder="1" applyAlignment="1">
      <alignment horizontal="center"/>
    </xf>
    <xf numFmtId="0" fontId="34" fillId="0" borderId="64" xfId="0" applyFont="1" applyBorder="1"/>
    <xf numFmtId="170" fontId="59" fillId="0" borderId="65" xfId="0" applyNumberFormat="1" applyFont="1" applyBorder="1" applyAlignment="1">
      <alignment horizontal="center"/>
    </xf>
    <xf numFmtId="0" fontId="60" fillId="0" borderId="65" xfId="0" applyFont="1" applyBorder="1"/>
    <xf numFmtId="0" fontId="0" fillId="0" borderId="65" xfId="0" applyBorder="1"/>
    <xf numFmtId="0" fontId="0" fillId="0" borderId="66" xfId="0" applyBorder="1"/>
    <xf numFmtId="0" fontId="46" fillId="8" borderId="67" xfId="0" applyFont="1" applyFill="1" applyBorder="1" applyAlignment="1">
      <alignment horizontal="center"/>
    </xf>
    <xf numFmtId="0" fontId="46" fillId="8" borderId="68" xfId="0" applyFont="1" applyFill="1" applyBorder="1" applyAlignment="1">
      <alignment horizontal="center"/>
    </xf>
    <xf numFmtId="0" fontId="25" fillId="6" borderId="69" xfId="0" applyFont="1" applyFill="1" applyBorder="1" applyAlignment="1">
      <alignment horizontal="center"/>
    </xf>
    <xf numFmtId="0" fontId="45" fillId="0" borderId="70" xfId="0" applyFont="1" applyBorder="1"/>
    <xf numFmtId="169" fontId="40" fillId="0" borderId="71" xfId="0" applyNumberFormat="1" applyFont="1" applyBorder="1" applyAlignment="1">
      <alignment horizontal="center"/>
    </xf>
    <xf numFmtId="167" fontId="45" fillId="0" borderId="72" xfId="0" applyNumberFormat="1" applyFont="1" applyBorder="1" applyAlignment="1">
      <alignment horizontal="center"/>
    </xf>
    <xf numFmtId="0" fontId="25" fillId="6" borderId="73" xfId="0" applyFont="1" applyFill="1" applyBorder="1"/>
    <xf numFmtId="167" fontId="25" fillId="6" borderId="74" xfId="0" applyNumberFormat="1" applyFont="1" applyFill="1" applyBorder="1" applyAlignment="1">
      <alignment horizontal="center"/>
    </xf>
    <xf numFmtId="167" fontId="17" fillId="17" borderId="75" xfId="0" applyNumberFormat="1" applyFont="1" applyFill="1" applyBorder="1" applyAlignment="1">
      <alignment horizontal="center"/>
    </xf>
    <xf numFmtId="0" fontId="61" fillId="11" borderId="76" xfId="0" applyFont="1" applyFill="1" applyBorder="1" applyAlignment="1">
      <alignment horizontal="center"/>
    </xf>
    <xf numFmtId="0" fontId="61" fillId="11" borderId="0" xfId="0" applyFont="1" applyFill="1" applyAlignment="1">
      <alignment horizontal="center"/>
    </xf>
    <xf numFmtId="3" fontId="0" fillId="0" borderId="0" xfId="0" applyNumberFormat="1"/>
    <xf numFmtId="0" fontId="0" fillId="22" borderId="0" xfId="0" applyFill="1"/>
    <xf numFmtId="0" fontId="62" fillId="0" borderId="0" xfId="0" applyFont="1"/>
    <xf numFmtId="0" fontId="49" fillId="0" borderId="0" xfId="0" applyFont="1"/>
    <xf numFmtId="0" fontId="64" fillId="0" borderId="0" xfId="0" applyFont="1"/>
    <xf numFmtId="0" fontId="63" fillId="0" borderId="0" xfId="0" applyFont="1"/>
    <xf numFmtId="3" fontId="32" fillId="0" borderId="32" xfId="0" applyNumberFormat="1" applyFont="1" applyBorder="1" applyAlignment="1">
      <alignment horizontal="center"/>
    </xf>
    <xf numFmtId="171" fontId="0" fillId="0" borderId="0" xfId="2" applyNumberFormat="1" applyFont="1"/>
    <xf numFmtId="166" fontId="0" fillId="0" borderId="78" xfId="0" applyNumberFormat="1" applyBorder="1"/>
    <xf numFmtId="0" fontId="0" fillId="0" borderId="77" xfId="0" applyBorder="1"/>
    <xf numFmtId="0" fontId="0" fillId="0" borderId="78" xfId="0" applyBorder="1"/>
    <xf numFmtId="3" fontId="0" fillId="0" borderId="78" xfId="0" applyNumberFormat="1" applyBorder="1"/>
    <xf numFmtId="3" fontId="0" fillId="0" borderId="79" xfId="0" applyNumberFormat="1" applyBorder="1"/>
    <xf numFmtId="0" fontId="66" fillId="19" borderId="80" xfId="0" applyFont="1" applyFill="1" applyBorder="1"/>
    <xf numFmtId="0" fontId="66" fillId="19" borderId="0" xfId="0" applyFont="1" applyFill="1"/>
    <xf numFmtId="0" fontId="65" fillId="19" borderId="80" xfId="0" applyFont="1" applyFill="1" applyBorder="1" applyAlignment="1">
      <alignment horizontal="center"/>
    </xf>
    <xf numFmtId="166" fontId="65" fillId="19" borderId="80" xfId="0" applyNumberFormat="1" applyFont="1" applyFill="1" applyBorder="1" applyAlignment="1">
      <alignment horizontal="center"/>
    </xf>
    <xf numFmtId="3" fontId="65" fillId="19" borderId="80" xfId="0" applyNumberFormat="1" applyFont="1" applyFill="1" applyBorder="1" applyAlignment="1">
      <alignment horizontal="center"/>
    </xf>
    <xf numFmtId="0" fontId="65" fillId="19" borderId="0" xfId="0" applyFont="1" applyFill="1" applyAlignment="1">
      <alignment horizontal="center"/>
    </xf>
    <xf numFmtId="166" fontId="65" fillId="19" borderId="0" xfId="0" applyNumberFormat="1" applyFont="1" applyFill="1" applyAlignment="1">
      <alignment horizontal="center"/>
    </xf>
    <xf numFmtId="3" fontId="65" fillId="19" borderId="0" xfId="0" applyNumberFormat="1" applyFont="1" applyFill="1" applyAlignment="1">
      <alignment horizontal="center"/>
    </xf>
    <xf numFmtId="166" fontId="65" fillId="19" borderId="1" xfId="0" applyNumberFormat="1" applyFont="1" applyFill="1" applyBorder="1"/>
    <xf numFmtId="0" fontId="65" fillId="19" borderId="1" xfId="0" applyFont="1" applyFill="1" applyBorder="1" applyAlignment="1">
      <alignment wrapText="1"/>
    </xf>
    <xf numFmtId="167" fontId="65" fillId="19" borderId="1" xfId="0" applyNumberFormat="1" applyFont="1" applyFill="1" applyBorder="1"/>
    <xf numFmtId="165" fontId="65" fillId="19" borderId="8" xfId="0" applyNumberFormat="1" applyFont="1" applyFill="1" applyBorder="1"/>
    <xf numFmtId="0" fontId="65" fillId="19" borderId="5" xfId="0" applyFont="1" applyFill="1" applyBorder="1" applyAlignment="1">
      <alignment wrapText="1"/>
    </xf>
    <xf numFmtId="0" fontId="0" fillId="0" borderId="81" xfId="0" applyBorder="1"/>
    <xf numFmtId="0" fontId="0" fillId="0" borderId="82" xfId="0" applyBorder="1"/>
    <xf numFmtId="166" fontId="0" fillId="0" borderId="82" xfId="0" applyNumberFormat="1" applyBorder="1"/>
    <xf numFmtId="3" fontId="0" fillId="0" borderId="82" xfId="0" applyNumberFormat="1" applyBorder="1"/>
    <xf numFmtId="3" fontId="0" fillId="0" borderId="83" xfId="0" applyNumberFormat="1" applyBorder="1"/>
    <xf numFmtId="171" fontId="21" fillId="15" borderId="0" xfId="2" applyNumberFormat="1" applyFont="1" applyFill="1" applyAlignment="1">
      <alignment horizontal="center" vertical="center" wrapText="1"/>
    </xf>
    <xf numFmtId="43" fontId="21" fillId="15" borderId="0" xfId="1" applyFont="1" applyFill="1" applyAlignment="1">
      <alignment horizontal="center" vertical="center" wrapText="1"/>
    </xf>
    <xf numFmtId="0" fontId="12" fillId="0" borderId="0" xfId="3"/>
    <xf numFmtId="0" fontId="67" fillId="23" borderId="87" xfId="3" quotePrefix="1" applyFont="1" applyFill="1" applyBorder="1" applyAlignment="1">
      <alignment horizontal="center" vertical="center" wrapText="1"/>
    </xf>
    <xf numFmtId="0" fontId="68" fillId="24" borderId="0" xfId="3" applyFont="1" applyFill="1"/>
    <xf numFmtId="0" fontId="68" fillId="24" borderId="0" xfId="3" quotePrefix="1" applyFont="1" applyFill="1"/>
    <xf numFmtId="14" fontId="68" fillId="24" borderId="0" xfId="3" applyNumberFormat="1" applyFont="1" applyFill="1"/>
    <xf numFmtId="168" fontId="67" fillId="23" borderId="87" xfId="3" quotePrefix="1" applyNumberFormat="1" applyFont="1" applyFill="1" applyBorder="1" applyAlignment="1">
      <alignment horizontal="center" vertical="center" wrapText="1"/>
    </xf>
    <xf numFmtId="168" fontId="68" fillId="24" borderId="0" xfId="3" applyNumberFormat="1" applyFont="1" applyFill="1"/>
    <xf numFmtId="168" fontId="12" fillId="0" borderId="0" xfId="3" applyNumberFormat="1"/>
    <xf numFmtId="168" fontId="2" fillId="2" borderId="0" xfId="0" applyNumberFormat="1" applyFont="1" applyFill="1" applyAlignment="1">
      <alignment horizontal="center" wrapText="1"/>
    </xf>
    <xf numFmtId="168" fontId="6" fillId="0" borderId="0" xfId="0" applyNumberFormat="1" applyFont="1"/>
    <xf numFmtId="168" fontId="2" fillId="2" borderId="0" xfId="0" applyNumberFormat="1" applyFont="1" applyFill="1" applyAlignment="1">
      <alignment horizontal="center"/>
    </xf>
    <xf numFmtId="168" fontId="13" fillId="0" borderId="0" xfId="0" applyNumberFormat="1" applyFont="1"/>
    <xf numFmtId="0" fontId="0" fillId="18" borderId="0" xfId="0" applyFill="1"/>
    <xf numFmtId="14" fontId="0" fillId="0" borderId="0" xfId="0" applyNumberFormat="1"/>
    <xf numFmtId="0" fontId="69" fillId="0" borderId="0" xfId="0" applyFont="1"/>
    <xf numFmtId="172" fontId="69" fillId="0" borderId="0" xfId="0" applyNumberFormat="1" applyFont="1"/>
    <xf numFmtId="17" fontId="0" fillId="18" borderId="0" xfId="0" applyNumberFormat="1" applyFill="1"/>
    <xf numFmtId="4" fontId="0" fillId="18" borderId="0" xfId="0" applyNumberFormat="1" applyFill="1"/>
    <xf numFmtId="0" fontId="67" fillId="23" borderId="87" xfId="0" quotePrefix="1" applyFont="1" applyFill="1" applyBorder="1" applyAlignment="1">
      <alignment horizontal="center" vertical="center" wrapText="1"/>
    </xf>
    <xf numFmtId="0" fontId="67" fillId="23" borderId="88" xfId="3" applyFont="1" applyFill="1" applyBorder="1" applyAlignment="1">
      <alignment horizontal="center" vertical="center" wrapText="1"/>
    </xf>
    <xf numFmtId="0" fontId="69" fillId="25" borderId="0" xfId="0" applyFont="1" applyFill="1"/>
    <xf numFmtId="172" fontId="69" fillId="25" borderId="0" xfId="0" applyNumberFormat="1" applyFont="1" applyFill="1"/>
    <xf numFmtId="14" fontId="69" fillId="25" borderId="0" xfId="0" applyNumberFormat="1" applyFont="1" applyFill="1"/>
    <xf numFmtId="0" fontId="68" fillId="24" borderId="0" xfId="0" applyFont="1" applyFill="1"/>
    <xf numFmtId="4" fontId="68" fillId="24" borderId="0" xfId="0" applyNumberFormat="1" applyFont="1" applyFill="1"/>
    <xf numFmtId="4" fontId="0" fillId="0" borderId="0" xfId="0" applyNumberFormat="1"/>
    <xf numFmtId="17" fontId="0" fillId="0" borderId="0" xfId="0" applyNumberFormat="1"/>
    <xf numFmtId="0" fontId="0" fillId="26" borderId="0" xfId="0" applyFill="1"/>
    <xf numFmtId="17" fontId="0" fillId="26" borderId="0" xfId="0" applyNumberFormat="1" applyFill="1"/>
    <xf numFmtId="4" fontId="0" fillId="26" borderId="0" xfId="0" applyNumberFormat="1" applyFill="1"/>
    <xf numFmtId="0" fontId="70" fillId="24" borderId="0" xfId="0" applyFont="1" applyFill="1"/>
    <xf numFmtId="14" fontId="0" fillId="26" borderId="0" xfId="0" applyNumberFormat="1" applyFill="1"/>
    <xf numFmtId="0" fontId="68" fillId="27" borderId="0" xfId="0" applyFont="1" applyFill="1"/>
    <xf numFmtId="0" fontId="68" fillId="27" borderId="0" xfId="0" quotePrefix="1" applyFont="1" applyFill="1"/>
    <xf numFmtId="4" fontId="68" fillId="27" borderId="0" xfId="0" applyNumberFormat="1" applyFont="1" applyFill="1"/>
    <xf numFmtId="0" fontId="9" fillId="0" borderId="0" xfId="0" applyFont="1"/>
    <xf numFmtId="164" fontId="2" fillId="2" borderId="0" xfId="0" applyNumberFormat="1" applyFont="1" applyFill="1"/>
    <xf numFmtId="0" fontId="14" fillId="17" borderId="0" xfId="0" applyFont="1" applyFill="1" applyAlignment="1">
      <alignment horizontal="center"/>
    </xf>
    <xf numFmtId="0" fontId="33" fillId="17" borderId="0" xfId="0" applyFont="1" applyFill="1"/>
    <xf numFmtId="0" fontId="24" fillId="6" borderId="0" xfId="0" applyFont="1" applyFill="1" applyAlignment="1">
      <alignment horizontal="center"/>
    </xf>
    <xf numFmtId="0" fontId="0" fillId="0" borderId="0" xfId="0"/>
    <xf numFmtId="0" fontId="33" fillId="7" borderId="0" xfId="0" applyFont="1" applyFill="1"/>
    <xf numFmtId="0" fontId="33" fillId="11" borderId="0" xfId="0" applyFont="1" applyFill="1"/>
    <xf numFmtId="0" fontId="40" fillId="0" borderId="44" xfId="0" applyFont="1" applyBorder="1"/>
    <xf numFmtId="0" fontId="40" fillId="0" borderId="45" xfId="0" applyFont="1" applyBorder="1"/>
    <xf numFmtId="0" fontId="40" fillId="0" borderId="47" xfId="0" applyFont="1" applyBorder="1"/>
    <xf numFmtId="0" fontId="40" fillId="0" borderId="48" xfId="0" applyFont="1" applyBorder="1"/>
    <xf numFmtId="0" fontId="15" fillId="17" borderId="0" xfId="0" applyFont="1" applyFill="1" applyAlignment="1">
      <alignment horizontal="center"/>
    </xf>
    <xf numFmtId="0" fontId="25" fillId="17" borderId="41" xfId="0" applyFont="1" applyFill="1" applyBorder="1"/>
    <xf numFmtId="0" fontId="25" fillId="17" borderId="42" xfId="0" applyFont="1" applyFill="1" applyBorder="1"/>
    <xf numFmtId="0" fontId="35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/>
    </xf>
    <xf numFmtId="0" fontId="15" fillId="7" borderId="0" xfId="0" applyFont="1" applyFill="1"/>
    <xf numFmtId="0" fontId="15" fillId="11" borderId="0" xfId="0" applyFont="1" applyFill="1"/>
    <xf numFmtId="0" fontId="15" fillId="17" borderId="0" xfId="0" applyFont="1" applyFill="1"/>
    <xf numFmtId="0" fontId="9" fillId="0" borderId="0" xfId="0" applyFont="1"/>
    <xf numFmtId="0" fontId="1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5" fillId="9" borderId="0" xfId="0" applyFont="1" applyFill="1" applyAlignment="1">
      <alignment wrapText="1"/>
    </xf>
    <xf numFmtId="0" fontId="18" fillId="10" borderId="0" xfId="0" applyFont="1" applyFill="1" applyAlignment="1">
      <alignment wrapText="1"/>
    </xf>
    <xf numFmtId="0" fontId="15" fillId="7" borderId="0" xfId="0" applyFont="1" applyFill="1" applyAlignment="1">
      <alignment horizontal="left" wrapText="1"/>
    </xf>
    <xf numFmtId="0" fontId="15" fillId="7" borderId="0" xfId="0" applyFont="1" applyFill="1" applyAlignment="1">
      <alignment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7" fillId="23" borderId="84" xfId="3" quotePrefix="1" applyFont="1" applyFill="1" applyBorder="1" applyAlignment="1">
      <alignment horizontal="center" vertical="center" wrapText="1"/>
    </xf>
    <xf numFmtId="0" fontId="67" fillId="23" borderId="85" xfId="3" quotePrefix="1" applyFont="1" applyFill="1" applyBorder="1" applyAlignment="1">
      <alignment horizontal="center" vertical="center" wrapText="1"/>
    </xf>
    <xf numFmtId="0" fontId="67" fillId="23" borderId="86" xfId="3" quotePrefix="1" applyFont="1" applyFill="1" applyBorder="1" applyAlignment="1">
      <alignment horizontal="center" vertical="center" wrapText="1"/>
    </xf>
    <xf numFmtId="0" fontId="67" fillId="23" borderId="84" xfId="0" quotePrefix="1" applyFont="1" applyFill="1" applyBorder="1" applyAlignment="1">
      <alignment horizontal="center" vertical="center" wrapText="1"/>
    </xf>
    <xf numFmtId="0" fontId="67" fillId="23" borderId="85" xfId="0" quotePrefix="1" applyFont="1" applyFill="1" applyBorder="1" applyAlignment="1">
      <alignment horizontal="center" vertical="center" wrapText="1"/>
    </xf>
    <xf numFmtId="0" fontId="67" fillId="23" borderId="86" xfId="0" quotePrefix="1" applyFont="1" applyFill="1" applyBorder="1" applyAlignment="1">
      <alignment horizontal="center" vertical="center" wrapText="1"/>
    </xf>
  </cellXfs>
  <cellStyles count="4">
    <cellStyle name="Milliers" xfId="1" builtinId="3"/>
    <cellStyle name="Monétaire" xfId="2" builtinId="4"/>
    <cellStyle name="Normal" xfId="0" builtinId="0"/>
    <cellStyle name="Normal 7" xfId="3" xr:uid="{E392B03A-AEBC-4F95-B1C6-E797C367C0BB}"/>
  </cellStyles>
  <dxfs count="52"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92D050"/>
      </font>
    </dxf>
    <dxf>
      <font>
        <b/>
        <i val="0"/>
        <strike val="0"/>
        <color rgb="FFFF0000"/>
      </font>
    </dxf>
    <dxf>
      <font>
        <b/>
        <i val="0"/>
        <strike val="0"/>
        <color rgb="FF92D050"/>
      </font>
    </dxf>
    <dxf>
      <numFmt numFmtId="171" formatCode="_-* #,##0.00\ _€_-;\-* #,##0.00\ _€_-;_-* &quot;-&quot;??\ _€_-;_-@_-"/>
    </dxf>
    <dxf>
      <numFmt numFmtId="0" formatCode="General"/>
    </dxf>
    <dxf>
      <numFmt numFmtId="171" formatCode="_-* #,##0.00\ _€_-;\-* #,##0.00\ _€_-;_-* &quot;-&quot;??\ _€_-;_-@_-"/>
    </dxf>
    <dxf>
      <numFmt numFmtId="0" formatCode="General"/>
    </dxf>
    <dxf>
      <numFmt numFmtId="171" formatCode="_-* #,##0.00\ _€_-;\-* #,##0.00\ _€_-;_-* &quot;-&quot;??\ _€_-;_-@_-"/>
    </dxf>
    <dxf>
      <numFmt numFmtId="0" formatCode="General"/>
    </dxf>
    <dxf>
      <numFmt numFmtId="171" formatCode="_-* #,##0.00\ _€_-;\-* #,##0.00\ _€_-;_-* &quot;-&quot;??\ _€_-;_-@_-"/>
    </dxf>
    <dxf>
      <numFmt numFmtId="171" formatCode="_-* #,##0.00\ _€_-;\-* #,##0.00\ _€_-;_-* &quot;-&quot;??\ _€_-;_-@_-"/>
    </dxf>
    <dxf>
      <numFmt numFmtId="171" formatCode="_-* #,##0.00\ _€_-;\-* #,##0.00\ _€_-;_-* &quot;-&quot;??\ _€_-;_-@_-"/>
    </dxf>
    <dxf>
      <numFmt numFmtId="0" formatCode="General"/>
    </dxf>
    <dxf>
      <numFmt numFmtId="171" formatCode="_-* #,##0.00\ _€_-;\-* #,##0.00\ _€_-;_-* &quot;-&quot;??\ _€_-;_-@_-"/>
    </dxf>
    <dxf>
      <numFmt numFmtId="171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numFmt numFmtId="168" formatCode="00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Effectifs &amp; Suppressions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Dashboard'!$AB$1</c:f>
              <c:strCache>
                <c:ptCount val="1"/>
                <c:pt idx="0">
                  <c:v>Effectif Avant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'📈 Dashboard'!$AA$2:$AA$6</c15:sqref>
                  </c15:fullRef>
                </c:ext>
              </c:extLst>
              <c:f>'📈 Dashboard'!$AA$2:$AA$5</c:f>
              <c:strCache>
                <c:ptCount val="4"/>
                <c:pt idx="0">
                  <c:v>Agent de maîtrise</c:v>
                </c:pt>
                <c:pt idx="1">
                  <c:v>Apprenti</c:v>
                </c:pt>
                <c:pt idx="2">
                  <c:v>Employé</c:v>
                </c:pt>
                <c:pt idx="3">
                  <c:v>Ouvrier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'📈 Dashboard'!$AB$2:$AB$6</c15:sqref>
                  </c15:fullRef>
                </c:ext>
              </c:extLst>
              <c:f>'📈 Dashboard'!$AB$2:$AB$5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9-42E5-8745-88C2B7B021E6}"/>
            </c:ext>
          </c:extLst>
        </c:ser>
        <c:ser>
          <c:idx val="1"/>
          <c:order val="1"/>
          <c:tx>
            <c:strRef>
              <c:f>'📈 Dashboard'!$AC$1</c:f>
              <c:strCache>
                <c:ptCount val="1"/>
                <c:pt idx="0">
                  <c:v>Postes Supprimés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'📈 Dashboard'!$AA$2:$AA$6</c15:sqref>
                  </c15:fullRef>
                </c:ext>
              </c:extLst>
              <c:f>'📈 Dashboard'!$AA$2:$AA$5</c:f>
              <c:strCache>
                <c:ptCount val="4"/>
                <c:pt idx="0">
                  <c:v>Agent de maîtrise</c:v>
                </c:pt>
                <c:pt idx="1">
                  <c:v>Apprenti</c:v>
                </c:pt>
                <c:pt idx="2">
                  <c:v>Employé</c:v>
                </c:pt>
                <c:pt idx="3">
                  <c:v>Ouvrier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'📈 Dashboard'!$AC$2:$AC$6</c15:sqref>
                  </c15:fullRef>
                </c:ext>
              </c:extLst>
              <c:f>'📈 Dashboard'!$AC$2:$AC$5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09-42E5-8745-88C2B7B021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00666367"/>
        <c:axId val="800667327"/>
      </c:barChart>
      <c:catAx>
        <c:axId val="80066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667327"/>
        <c:crosses val="autoZero"/>
        <c:auto val="1"/>
        <c:lblAlgn val="ctr"/>
        <c:lblOffset val="100"/>
        <c:noMultiLvlLbl val="0"/>
      </c:catAx>
      <c:valAx>
        <c:axId val="8006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66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CDI / CDD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Dashboard'!$AE$2</c:f>
              <c:strCache>
                <c:ptCount val="1"/>
                <c:pt idx="0">
                  <c:v>CDI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Dashboard'!$AF$1:$AG$1</c:f>
              <c:strCache>
                <c:ptCount val="2"/>
                <c:pt idx="0">
                  <c:v>Avant</c:v>
                </c:pt>
                <c:pt idx="1">
                  <c:v>Suppressions</c:v>
                </c:pt>
              </c:strCache>
            </c:strRef>
          </c:cat>
          <c:val>
            <c:numRef>
              <c:f>'📈 Dashboard'!$AF$2:$AG$2</c:f>
              <c:numCache>
                <c:formatCode>General</c:formatCode>
                <c:ptCount val="2"/>
                <c:pt idx="0">
                  <c:v>34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6-4670-8EAB-4541F96F137E}"/>
            </c:ext>
          </c:extLst>
        </c:ser>
        <c:ser>
          <c:idx val="1"/>
          <c:order val="1"/>
          <c:tx>
            <c:strRef>
              <c:f>'📈 Dashboard'!$AE$3</c:f>
              <c:strCache>
                <c:ptCount val="1"/>
                <c:pt idx="0">
                  <c:v>CDD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Dashboard'!$AF$1:$AG$1</c:f>
              <c:strCache>
                <c:ptCount val="2"/>
                <c:pt idx="0">
                  <c:v>Avant</c:v>
                </c:pt>
                <c:pt idx="1">
                  <c:v>Suppressions</c:v>
                </c:pt>
              </c:strCache>
            </c:strRef>
          </c:cat>
          <c:val>
            <c:numRef>
              <c:f>'📈 Dashboard'!$AF$3:$AG$3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C6-4670-8EAB-4541F96F13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1965551"/>
        <c:axId val="861967471"/>
      </c:barChart>
      <c:catAx>
        <c:axId val="86196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1967471"/>
        <c:crosses val="autoZero"/>
        <c:auto val="1"/>
        <c:lblAlgn val="ctr"/>
        <c:lblOffset val="100"/>
        <c:noMultiLvlLbl val="0"/>
      </c:catAx>
      <c:valAx>
        <c:axId val="8619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196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Hommes / Femmes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Dashboard'!$AE$7</c:f>
              <c:strCache>
                <c:ptCount val="1"/>
                <c:pt idx="0">
                  <c:v>Hommes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Dashboard'!$AF$6:$AG$6</c:f>
              <c:strCache>
                <c:ptCount val="2"/>
                <c:pt idx="0">
                  <c:v>Avant</c:v>
                </c:pt>
                <c:pt idx="1">
                  <c:v>Suppressions</c:v>
                </c:pt>
              </c:strCache>
            </c:strRef>
          </c:cat>
          <c:val>
            <c:numRef>
              <c:f>'📈 Dashboard'!$AF$7:$AG$7</c:f>
              <c:numCache>
                <c:formatCode>General</c:formatCode>
                <c:ptCount val="2"/>
                <c:pt idx="0">
                  <c:v>28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6-4C7F-9DB5-534024603088}"/>
            </c:ext>
          </c:extLst>
        </c:ser>
        <c:ser>
          <c:idx val="1"/>
          <c:order val="1"/>
          <c:tx>
            <c:strRef>
              <c:f>'📈 Dashboard'!$AE$8</c:f>
              <c:strCache>
                <c:ptCount val="1"/>
                <c:pt idx="0">
                  <c:v>Femmes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Dashboard'!$AF$6:$AG$6</c:f>
              <c:strCache>
                <c:ptCount val="2"/>
                <c:pt idx="0">
                  <c:v>Avant</c:v>
                </c:pt>
                <c:pt idx="1">
                  <c:v>Suppressions</c:v>
                </c:pt>
              </c:strCache>
            </c:strRef>
          </c:cat>
          <c:val>
            <c:numRef>
              <c:f>'📈 Dashboard'!$AF$8:$AG$8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6-4C7F-9DB5-5340246030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3421071"/>
        <c:axId val="913411951"/>
      </c:barChart>
      <c:catAx>
        <c:axId val="91342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3411951"/>
        <c:crosses val="autoZero"/>
        <c:auto val="1"/>
        <c:lblAlgn val="ctr"/>
        <c:lblOffset val="100"/>
        <c:noMultiLvlLbl val="0"/>
      </c:catAx>
      <c:valAx>
        <c:axId val="9134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342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Pyramide des Âges H/F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'📈 Dashboard'!$AB$8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'📈 Dashboard'!$AA$9:$AA$15</c15:sqref>
                  </c15:fullRef>
                </c:ext>
              </c:extLst>
              <c:f>'📈 Dashboard'!$AA$10:$AA$11</c:f>
              <c:strCache>
                <c:ptCount val="2"/>
                <c:pt idx="0">
                  <c:v>30-39 ans</c:v>
                </c:pt>
                <c:pt idx="1">
                  <c:v>40-49 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'📈 Dashboard'!$AB$9:$AB$15</c15:sqref>
                  </c15:fullRef>
                </c:ext>
              </c:extLst>
              <c:f>'📈 Dashboard'!$AB$10:$AB$11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6-42E0-8825-9572231EF15E}"/>
            </c:ext>
          </c:extLst>
        </c:ser>
        <c:ser>
          <c:idx val="1"/>
          <c:order val="1"/>
          <c:tx>
            <c:strRef>
              <c:f>'📈 Dashboard'!$AC$8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'📈 Dashboard'!$AA$9:$AA$15</c15:sqref>
                  </c15:fullRef>
                </c:ext>
              </c:extLst>
              <c:f>'📈 Dashboard'!$AA$10:$AA$11</c:f>
              <c:strCache>
                <c:ptCount val="2"/>
                <c:pt idx="0">
                  <c:v>30-39 ans</c:v>
                </c:pt>
                <c:pt idx="1">
                  <c:v>40-49 ans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'📈 Dashboard'!$AC$9:$AC$15</c15:sqref>
                  </c15:fullRef>
                </c:ext>
              </c:extLst>
              <c:f>'📈 Dashboard'!$AC$10:$AC$11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6-42E0-8825-9572231EF1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3088271"/>
        <c:axId val="653093551"/>
      </c:barChart>
      <c:catAx>
        <c:axId val="65308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093551"/>
        <c:crosses val="autoZero"/>
        <c:auto val="1"/>
        <c:lblAlgn val="ctr"/>
        <c:lblOffset val="100"/>
        <c:noMultiLvlLbl val="0"/>
      </c:catAx>
      <c:valAx>
        <c:axId val="65309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08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Effectifs &amp; Suppressions par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Dashboard'!$W$1</c:f>
              <c:strCache>
                <c:ptCount val="1"/>
                <c:pt idx="0">
                  <c:v>Effectif Avant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Dashboard'!$V$2:$V$4</c:f>
              <c:strCache>
                <c:ptCount val="3"/>
                <c:pt idx="0">
                  <c:v>PUSIGNAN</c:v>
                </c:pt>
                <c:pt idx="1">
                  <c:v>ROGNAC</c:v>
                </c:pt>
                <c:pt idx="2">
                  <c:v>VALENCE</c:v>
                </c:pt>
              </c:strCache>
            </c:strRef>
          </c:cat>
          <c:val>
            <c:numRef>
              <c:f>'📈 Dashboard'!$W$2:$W$4</c:f>
              <c:numCache>
                <c:formatCode>General</c:formatCode>
                <c:ptCount val="3"/>
                <c:pt idx="0">
                  <c:v>13</c:v>
                </c:pt>
                <c:pt idx="1">
                  <c:v>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F-4829-A9C3-7C609946CD67}"/>
            </c:ext>
          </c:extLst>
        </c:ser>
        <c:ser>
          <c:idx val="1"/>
          <c:order val="1"/>
          <c:tx>
            <c:strRef>
              <c:f>'📈 Dashboard'!$X$1</c:f>
              <c:strCache>
                <c:ptCount val="1"/>
                <c:pt idx="0">
                  <c:v>Postes Supprimés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'📈 Dashboard'!$V$2:$V$4</c:f>
              <c:strCache>
                <c:ptCount val="3"/>
                <c:pt idx="0">
                  <c:v>PUSIGNAN</c:v>
                </c:pt>
                <c:pt idx="1">
                  <c:v>ROGNAC</c:v>
                </c:pt>
                <c:pt idx="2">
                  <c:v>VALENCE</c:v>
                </c:pt>
              </c:strCache>
            </c:strRef>
          </c:cat>
          <c:val>
            <c:numRef>
              <c:f>'📈 Dashboard'!$X$2:$X$4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F-4829-A9C3-7C609946CD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14152815"/>
        <c:axId val="714153295"/>
      </c:barChart>
      <c:catAx>
        <c:axId val="71415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4153295"/>
        <c:crosses val="autoZero"/>
        <c:auto val="1"/>
        <c:lblAlgn val="ctr"/>
        <c:lblOffset val="100"/>
        <c:noMultiLvlLbl val="0"/>
      </c:catAx>
      <c:valAx>
        <c:axId val="71415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415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Coûts 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E8-4CF2-B015-9F103F856A6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E8-4CF2-B015-9F103F856A6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3E8-4CF2-B015-9F103F856A6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3E8-4CF2-B015-9F103F856A66}"/>
              </c:ext>
            </c:extLst>
          </c:dPt>
          <c:cat>
            <c:strRef>
              <c:f>'📈 Dashboard'!$V$15:$V$18</c:f>
              <c:strCache>
                <c:ptCount val="4"/>
                <c:pt idx="0">
                  <c:v>Indemnités licenciement</c:v>
                </c:pt>
                <c:pt idx="1">
                  <c:v>Indemnités préavis</c:v>
                </c:pt>
                <c:pt idx="2">
                  <c:v>Indemnités CP</c:v>
                </c:pt>
                <c:pt idx="3">
                  <c:v>Charges patronales</c:v>
                </c:pt>
              </c:strCache>
            </c:strRef>
          </c:cat>
          <c:val>
            <c:numRef>
              <c:f>'📈 Dashboard'!$W$15:$W$18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C-4A52-8D07-93AFB4C0E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 cumulé — Point mort 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Analyse Éco PSE'!$H$19</c:f>
              <c:strCache>
                <c:ptCount val="1"/>
                <c:pt idx="0">
                  <c:v>Flux cumulé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'📊 Analyse Éco PSE'!$G$20:$G$23</c:f>
              <c:strCache>
                <c:ptCount val="4"/>
                <c:pt idx="0">
                  <c:v>Année 0</c:v>
                </c:pt>
                <c:pt idx="1">
                  <c:v>Année 1</c:v>
                </c:pt>
                <c:pt idx="2">
                  <c:v>Année 2</c:v>
                </c:pt>
                <c:pt idx="3">
                  <c:v>Année 3</c:v>
                </c:pt>
              </c:strCache>
            </c:strRef>
          </c:cat>
          <c:val>
            <c:numRef>
              <c:f>'📊 Analyse Éco PSE'!$H$20:$H$23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4-4BC1-98EA-B2178E86A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082319"/>
        <c:axId val="868072719"/>
      </c:lineChart>
      <c:catAx>
        <c:axId val="8680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8072719"/>
        <c:crosses val="autoZero"/>
        <c:auto val="1"/>
        <c:lblAlgn val="ctr"/>
        <c:lblOffset val="100"/>
        <c:noMultiLvlLbl val="0"/>
      </c:catAx>
      <c:valAx>
        <c:axId val="86807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808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46</xdr:row>
      <xdr:rowOff>47625</xdr:rowOff>
    </xdr:from>
    <xdr:to>
      <xdr:col>5</xdr:col>
      <xdr:colOff>1085850</xdr:colOff>
      <xdr:row>61</xdr:row>
      <xdr:rowOff>28575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D344968-854A-69A3-7198-B0DAF55B1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1209675</xdr:colOff>
      <xdr:row>46</xdr:row>
      <xdr:rowOff>47625</xdr:rowOff>
    </xdr:from>
    <xdr:to>
      <xdr:col>8</xdr:col>
      <xdr:colOff>695325</xdr:colOff>
      <xdr:row>61</xdr:row>
      <xdr:rowOff>28575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8B7522A-5D70-D757-F459-88FE99578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62</xdr:row>
      <xdr:rowOff>19050</xdr:rowOff>
    </xdr:from>
    <xdr:to>
      <xdr:col>2</xdr:col>
      <xdr:colOff>419100</xdr:colOff>
      <xdr:row>77</xdr:row>
      <xdr:rowOff>47625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DE82142-8EDD-05D7-03BD-34C539477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590550</xdr:colOff>
      <xdr:row>62</xdr:row>
      <xdr:rowOff>19050</xdr:rowOff>
    </xdr:from>
    <xdr:to>
      <xdr:col>5</xdr:col>
      <xdr:colOff>1085850</xdr:colOff>
      <xdr:row>77</xdr:row>
      <xdr:rowOff>47625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66B09897-8066-01D3-755D-238547260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46</xdr:row>
      <xdr:rowOff>47626</xdr:rowOff>
    </xdr:from>
    <xdr:to>
      <xdr:col>2</xdr:col>
      <xdr:colOff>419100</xdr:colOff>
      <xdr:row>61</xdr:row>
      <xdr:rowOff>28576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830D7894-3B50-1829-9A13-1D048C6C8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1219200</xdr:colOff>
      <xdr:row>62</xdr:row>
      <xdr:rowOff>28575</xdr:rowOff>
    </xdr:from>
    <xdr:to>
      <xdr:col>8</xdr:col>
      <xdr:colOff>704850</xdr:colOff>
      <xdr:row>77</xdr:row>
      <xdr:rowOff>57150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B853D2D3-146E-F0EE-099B-4B54A4DD9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34</xdr:row>
      <xdr:rowOff>123825</xdr:rowOff>
    </xdr:from>
    <xdr:to>
      <xdr:col>2</xdr:col>
      <xdr:colOff>257175</xdr:colOff>
      <xdr:row>49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F1A23C5-A556-38C5-D2AA-886CD6A67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dc44d6d8471646/1.%20AIQ/PSE/FATTON%20%5e0%20CO%20-%20Personnel.xlsx" TargetMode="External"/><Relationship Id="rId1" Type="http://schemas.openxmlformats.org/officeDocument/2006/relationships/externalLinkPath" Target="FATTON%20%5e0%20CO%20-%20Personn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2DDC44D6D8471646" itemId="2DDC44D6D8471646!s3d3ffcb70aae465b9c22445ec2d6ee6d">
      <xxl21:absoluteUrl r:id="rId2"/>
    </xxl21:alternateUrls>
    <sheetNames>
      <sheetName val="Base 12-25"/>
      <sheetName val="Feuil2"/>
    </sheetNames>
    <sheetDataSet>
      <sheetData sheetId="0"/>
      <sheetData sheetId="1">
        <row r="4">
          <cell r="B4" t="str">
            <v>ABDOULKARIM Amir</v>
          </cell>
          <cell r="C4" t="str">
            <v>H</v>
          </cell>
          <cell r="D4" t="str">
            <v>France</v>
          </cell>
          <cell r="E4" t="str">
            <v/>
          </cell>
          <cell r="F4">
            <v>29677</v>
          </cell>
          <cell r="G4" t="str">
            <v/>
          </cell>
          <cell r="H4">
            <v>44446</v>
          </cell>
          <cell r="I4" t="str">
            <v/>
          </cell>
          <cell r="J4" t="str">
            <v/>
          </cell>
          <cell r="K4">
            <v>44446</v>
          </cell>
          <cell r="L4" t="str">
            <v>ROGNAC</v>
          </cell>
          <cell r="M4" t="str">
            <v>Conducteur PL</v>
          </cell>
        </row>
        <row r="5">
          <cell r="B5" t="str">
            <v>ALI Nassuf</v>
          </cell>
          <cell r="C5" t="str">
            <v>H</v>
          </cell>
          <cell r="D5" t="str">
            <v>France</v>
          </cell>
          <cell r="E5" t="str">
            <v/>
          </cell>
          <cell r="F5">
            <v>31093</v>
          </cell>
          <cell r="G5" t="str">
            <v/>
          </cell>
          <cell r="H5">
            <v>44473</v>
          </cell>
          <cell r="I5" t="str">
            <v/>
          </cell>
          <cell r="J5" t="str">
            <v/>
          </cell>
          <cell r="K5">
            <v>44473</v>
          </cell>
          <cell r="L5" t="str">
            <v>ROGNAC</v>
          </cell>
          <cell r="M5" t="str">
            <v>Conducteur PL</v>
          </cell>
        </row>
        <row r="6">
          <cell r="B6" t="str">
            <v>AZCUE Georges</v>
          </cell>
          <cell r="C6" t="str">
            <v>H</v>
          </cell>
          <cell r="D6" t="str">
            <v>FRANCE</v>
          </cell>
          <cell r="E6" t="str">
            <v/>
          </cell>
          <cell r="F6">
            <v>25564</v>
          </cell>
          <cell r="G6" t="str">
            <v/>
          </cell>
          <cell r="H6">
            <v>45208</v>
          </cell>
          <cell r="I6" t="str">
            <v/>
          </cell>
          <cell r="J6" t="str">
            <v/>
          </cell>
          <cell r="K6">
            <v>45208</v>
          </cell>
          <cell r="L6" t="str">
            <v>VALENCE</v>
          </cell>
          <cell r="M6" t="str">
            <v>Conducteur PL</v>
          </cell>
        </row>
        <row r="7">
          <cell r="B7" t="str">
            <v>BASTARD Gilles</v>
          </cell>
          <cell r="C7" t="str">
            <v>H</v>
          </cell>
          <cell r="D7" t="str">
            <v>France</v>
          </cell>
          <cell r="E7" t="str">
            <v/>
          </cell>
          <cell r="F7">
            <v>25026</v>
          </cell>
          <cell r="G7" t="str">
            <v/>
          </cell>
          <cell r="H7">
            <v>39153</v>
          </cell>
          <cell r="I7" t="str">
            <v/>
          </cell>
          <cell r="J7" t="str">
            <v/>
          </cell>
          <cell r="K7">
            <v>39153</v>
          </cell>
          <cell r="L7" t="str">
            <v>PUSIGNAN</v>
          </cell>
          <cell r="M7" t="str">
            <v>Manutentionnaire</v>
          </cell>
        </row>
        <row r="8">
          <cell r="B8" t="str">
            <v>BEN HASSINE Sami</v>
          </cell>
          <cell r="C8" t="str">
            <v>H</v>
          </cell>
          <cell r="D8" t="str">
            <v>France</v>
          </cell>
          <cell r="E8" t="str">
            <v>Carte de résident (2C8WIRP1E) du 06/09/2014 jusqu'au 05/09/2024</v>
          </cell>
          <cell r="F8">
            <v>26138</v>
          </cell>
          <cell r="G8" t="str">
            <v/>
          </cell>
          <cell r="H8">
            <v>43710</v>
          </cell>
          <cell r="I8" t="str">
            <v/>
          </cell>
          <cell r="J8" t="str">
            <v/>
          </cell>
          <cell r="K8">
            <v>43710</v>
          </cell>
          <cell r="L8" t="str">
            <v>VALENCE</v>
          </cell>
          <cell r="M8" t="str">
            <v>Conducteur PL</v>
          </cell>
        </row>
        <row r="9">
          <cell r="B9" t="str">
            <v>BENSID AHMED Ali</v>
          </cell>
          <cell r="C9" t="str">
            <v>H</v>
          </cell>
          <cell r="D9" t="str">
            <v>France</v>
          </cell>
          <cell r="E9" t="str">
            <v/>
          </cell>
          <cell r="F9">
            <v>29066</v>
          </cell>
          <cell r="G9" t="str">
            <v/>
          </cell>
          <cell r="H9">
            <v>39301</v>
          </cell>
          <cell r="I9" t="str">
            <v/>
          </cell>
          <cell r="J9" t="str">
            <v/>
          </cell>
          <cell r="K9">
            <v>39301</v>
          </cell>
          <cell r="L9" t="str">
            <v>VALENCE</v>
          </cell>
          <cell r="M9" t="str">
            <v>Chauffeur PL</v>
          </cell>
        </row>
        <row r="10">
          <cell r="B10" t="str">
            <v>BOUDALI Ouari</v>
          </cell>
          <cell r="C10" t="str">
            <v>H</v>
          </cell>
          <cell r="D10" t="str">
            <v>France</v>
          </cell>
          <cell r="E10" t="str">
            <v/>
          </cell>
          <cell r="F10">
            <v>28742</v>
          </cell>
          <cell r="G10" t="str">
            <v/>
          </cell>
          <cell r="H10">
            <v>44480</v>
          </cell>
          <cell r="I10" t="str">
            <v/>
          </cell>
          <cell r="J10" t="str">
            <v/>
          </cell>
          <cell r="K10">
            <v>44480</v>
          </cell>
          <cell r="L10" t="str">
            <v>VALENCE</v>
          </cell>
          <cell r="M10" t="str">
            <v>Conducteur PL</v>
          </cell>
        </row>
        <row r="11">
          <cell r="B11" t="str">
            <v>BOUDRAA Khalid</v>
          </cell>
          <cell r="C11" t="str">
            <v>H</v>
          </cell>
          <cell r="D11" t="str">
            <v>FRANCE</v>
          </cell>
          <cell r="E11" t="str">
            <v/>
          </cell>
          <cell r="F11">
            <v>38020</v>
          </cell>
          <cell r="G11" t="str">
            <v/>
          </cell>
          <cell r="H11">
            <v>45890</v>
          </cell>
          <cell r="I11" t="str">
            <v/>
          </cell>
          <cell r="J11" t="str">
            <v/>
          </cell>
          <cell r="K11">
            <v>45890</v>
          </cell>
          <cell r="L11" t="str">
            <v>PUSIGNAN</v>
          </cell>
          <cell r="M11" t="str">
            <v>Assistant exploitation</v>
          </cell>
        </row>
        <row r="12">
          <cell r="B12" t="str">
            <v>BOULAKHSOUMI Mostafa</v>
          </cell>
          <cell r="C12" t="str">
            <v>H</v>
          </cell>
          <cell r="D12" t="str">
            <v>France</v>
          </cell>
          <cell r="E12" t="str">
            <v/>
          </cell>
          <cell r="F12">
            <v>24222</v>
          </cell>
          <cell r="G12" t="str">
            <v/>
          </cell>
          <cell r="H12">
            <v>42107</v>
          </cell>
          <cell r="I12" t="str">
            <v/>
          </cell>
          <cell r="J12" t="str">
            <v/>
          </cell>
          <cell r="K12">
            <v>42107</v>
          </cell>
          <cell r="L12" t="str">
            <v>VALENCE</v>
          </cell>
          <cell r="M12" t="str">
            <v>Resp Exploitation</v>
          </cell>
        </row>
        <row r="13">
          <cell r="B13" t="str">
            <v>BUJNOWSKYJ Sandrine née MOREL</v>
          </cell>
          <cell r="C13" t="str">
            <v>F</v>
          </cell>
          <cell r="D13" t="str">
            <v>FRANCE</v>
          </cell>
          <cell r="E13" t="str">
            <v/>
          </cell>
          <cell r="F13">
            <v>26033</v>
          </cell>
          <cell r="G13" t="str">
            <v/>
          </cell>
          <cell r="H13">
            <v>45460</v>
          </cell>
          <cell r="I13" t="str">
            <v/>
          </cell>
          <cell r="J13" t="str">
            <v/>
          </cell>
          <cell r="K13">
            <v>45460</v>
          </cell>
          <cell r="L13" t="str">
            <v>PUSIGNAN</v>
          </cell>
          <cell r="M13" t="str">
            <v>Assistante exploitation</v>
          </cell>
        </row>
        <row r="14">
          <cell r="B14" t="str">
            <v>DJEBBAR Fettah</v>
          </cell>
          <cell r="C14" t="str">
            <v>H</v>
          </cell>
          <cell r="D14" t="str">
            <v>FRANCE</v>
          </cell>
          <cell r="E14" t="str">
            <v/>
          </cell>
          <cell r="F14">
            <v>31247</v>
          </cell>
          <cell r="G14" t="str">
            <v/>
          </cell>
          <cell r="H14">
            <v>45201</v>
          </cell>
          <cell r="I14" t="str">
            <v/>
          </cell>
          <cell r="J14" t="str">
            <v/>
          </cell>
          <cell r="K14">
            <v>45201</v>
          </cell>
          <cell r="L14" t="str">
            <v>PUSIGNAN</v>
          </cell>
          <cell r="M14" t="str">
            <v>Chef de quai</v>
          </cell>
        </row>
        <row r="15">
          <cell r="B15" t="str">
            <v>DUMIOT Julien</v>
          </cell>
          <cell r="C15" t="str">
            <v>H</v>
          </cell>
          <cell r="D15" t="str">
            <v>France</v>
          </cell>
          <cell r="E15" t="str">
            <v/>
          </cell>
          <cell r="F15">
            <v>28437</v>
          </cell>
          <cell r="G15" t="str">
            <v/>
          </cell>
          <cell r="H15">
            <v>44867</v>
          </cell>
          <cell r="I15" t="str">
            <v/>
          </cell>
          <cell r="J15" t="str">
            <v/>
          </cell>
          <cell r="K15">
            <v>44867</v>
          </cell>
          <cell r="L15" t="str">
            <v>ROGNAC</v>
          </cell>
          <cell r="M15" t="str">
            <v>Conducteur PL</v>
          </cell>
        </row>
        <row r="16">
          <cell r="B16" t="str">
            <v>EGLAINE Florent</v>
          </cell>
          <cell r="C16" t="str">
            <v>H</v>
          </cell>
          <cell r="D16" t="str">
            <v>FRANCE</v>
          </cell>
          <cell r="E16" t="str">
            <v/>
          </cell>
          <cell r="F16">
            <v>32534</v>
          </cell>
          <cell r="G16" t="str">
            <v/>
          </cell>
          <cell r="H16">
            <v>45027</v>
          </cell>
          <cell r="I16" t="str">
            <v/>
          </cell>
          <cell r="J16" t="str">
            <v/>
          </cell>
          <cell r="K16">
            <v>45027</v>
          </cell>
          <cell r="L16" t="str">
            <v>VALENCE</v>
          </cell>
          <cell r="M16" t="str">
            <v>Chauffeur PL</v>
          </cell>
        </row>
        <row r="17">
          <cell r="B17" t="str">
            <v>ELIBAL Rumeysa</v>
          </cell>
          <cell r="C17" t="str">
            <v>F</v>
          </cell>
          <cell r="D17" t="str">
            <v>FRANCE</v>
          </cell>
          <cell r="E17" t="str">
            <v/>
          </cell>
          <cell r="F17">
            <v>38216</v>
          </cell>
          <cell r="G17" t="str">
            <v/>
          </cell>
          <cell r="H17">
            <v>45901</v>
          </cell>
          <cell r="I17" t="str">
            <v/>
          </cell>
          <cell r="J17" t="str">
            <v/>
          </cell>
          <cell r="K17">
            <v>45901</v>
          </cell>
          <cell r="L17" t="str">
            <v>PUSIGNAN</v>
          </cell>
          <cell r="M17" t="str">
            <v>Assistante Exploitation</v>
          </cell>
        </row>
        <row r="18">
          <cell r="B18" t="str">
            <v>FERDJI Abdenour</v>
          </cell>
          <cell r="C18" t="str">
            <v>H</v>
          </cell>
          <cell r="D18" t="str">
            <v>Algérie</v>
          </cell>
          <cell r="E18" t="str">
            <v>Carte de résident (NJVR1Y78G) du 17/12/2023 jusqu'au 17/12/2033</v>
          </cell>
          <cell r="F18">
            <v>31417</v>
          </cell>
          <cell r="G18" t="str">
            <v/>
          </cell>
          <cell r="H18">
            <v>43591</v>
          </cell>
          <cell r="I18" t="str">
            <v/>
          </cell>
          <cell r="J18" t="str">
            <v/>
          </cell>
          <cell r="K18">
            <v>43591</v>
          </cell>
          <cell r="L18" t="str">
            <v>VALENCE</v>
          </cell>
          <cell r="M18" t="str">
            <v>Chauffeur SPL</v>
          </cell>
        </row>
        <row r="19">
          <cell r="B19" t="str">
            <v>FOSSE Eva</v>
          </cell>
          <cell r="C19" t="str">
            <v>F</v>
          </cell>
          <cell r="D19" t="str">
            <v>FRANCE</v>
          </cell>
          <cell r="E19" t="str">
            <v/>
          </cell>
          <cell r="F19">
            <v>35704</v>
          </cell>
          <cell r="G19" t="str">
            <v/>
          </cell>
          <cell r="H19">
            <v>45222</v>
          </cell>
          <cell r="I19" t="str">
            <v/>
          </cell>
          <cell r="J19" t="str">
            <v/>
          </cell>
          <cell r="K19">
            <v>45222</v>
          </cell>
          <cell r="L19" t="str">
            <v>VALENCE</v>
          </cell>
          <cell r="M19" t="str">
            <v>Exploitante</v>
          </cell>
        </row>
        <row r="20">
          <cell r="B20" t="str">
            <v>GERARD Bruno</v>
          </cell>
          <cell r="C20" t="str">
            <v>H</v>
          </cell>
          <cell r="D20" t="str">
            <v>France</v>
          </cell>
          <cell r="E20" t="str">
            <v/>
          </cell>
          <cell r="F20">
            <v>27781</v>
          </cell>
          <cell r="G20" t="str">
            <v/>
          </cell>
          <cell r="H20">
            <v>35128</v>
          </cell>
          <cell r="I20" t="str">
            <v/>
          </cell>
          <cell r="J20" t="str">
            <v/>
          </cell>
          <cell r="K20">
            <v>35128</v>
          </cell>
          <cell r="L20" t="str">
            <v>VALENCE</v>
          </cell>
          <cell r="M20" t="str">
            <v>Chauffeur PL</v>
          </cell>
        </row>
        <row r="21">
          <cell r="B21" t="str">
            <v>GERARD Pascal</v>
          </cell>
          <cell r="C21" t="str">
            <v>H</v>
          </cell>
          <cell r="D21" t="str">
            <v>France</v>
          </cell>
          <cell r="E21" t="str">
            <v/>
          </cell>
          <cell r="F21">
            <v>28477</v>
          </cell>
          <cell r="G21" t="str">
            <v/>
          </cell>
          <cell r="H21">
            <v>35541</v>
          </cell>
          <cell r="I21" t="str">
            <v/>
          </cell>
          <cell r="J21" t="str">
            <v/>
          </cell>
          <cell r="K21">
            <v>35541</v>
          </cell>
          <cell r="L21" t="str">
            <v>PUSIGNAN</v>
          </cell>
          <cell r="M21" t="str">
            <v>Chef de Quai Temp</v>
          </cell>
        </row>
        <row r="22">
          <cell r="B22" t="str">
            <v>GUENIFI Abdelkader</v>
          </cell>
          <cell r="C22" t="str">
            <v>H</v>
          </cell>
          <cell r="D22" t="str">
            <v>France</v>
          </cell>
          <cell r="E22" t="str">
            <v/>
          </cell>
          <cell r="F22">
            <v>31288</v>
          </cell>
          <cell r="G22" t="str">
            <v/>
          </cell>
          <cell r="H22">
            <v>41673</v>
          </cell>
          <cell r="I22" t="str">
            <v/>
          </cell>
          <cell r="J22" t="str">
            <v/>
          </cell>
          <cell r="K22">
            <v>41673</v>
          </cell>
          <cell r="L22" t="str">
            <v>VALENCE</v>
          </cell>
          <cell r="M22" t="str">
            <v>Chauffeur SPL</v>
          </cell>
        </row>
        <row r="23">
          <cell r="B23" t="str">
            <v>HAOUARI Khaled</v>
          </cell>
          <cell r="C23" t="str">
            <v>H</v>
          </cell>
          <cell r="D23" t="str">
            <v>France</v>
          </cell>
          <cell r="E23" t="str">
            <v/>
          </cell>
          <cell r="F23">
            <v>24037</v>
          </cell>
          <cell r="G23" t="str">
            <v/>
          </cell>
          <cell r="H23">
            <v>39182</v>
          </cell>
          <cell r="I23" t="str">
            <v/>
          </cell>
          <cell r="J23" t="str">
            <v/>
          </cell>
          <cell r="K23">
            <v>39182</v>
          </cell>
          <cell r="L23" t="str">
            <v>VALENCE</v>
          </cell>
          <cell r="M23" t="str">
            <v>Chauffeur PL</v>
          </cell>
        </row>
        <row r="24">
          <cell r="B24" t="str">
            <v>JACQUOT Grégory</v>
          </cell>
          <cell r="C24" t="str">
            <v>H</v>
          </cell>
          <cell r="D24" t="str">
            <v>FRANCE</v>
          </cell>
          <cell r="E24" t="str">
            <v/>
          </cell>
          <cell r="F24">
            <v>36489</v>
          </cell>
          <cell r="G24" t="str">
            <v/>
          </cell>
          <cell r="H24">
            <v>45495</v>
          </cell>
          <cell r="I24" t="str">
            <v/>
          </cell>
          <cell r="J24" t="str">
            <v/>
          </cell>
          <cell r="K24">
            <v>45313</v>
          </cell>
          <cell r="L24" t="str">
            <v>PUSIGNAN</v>
          </cell>
          <cell r="M24" t="str">
            <v>Chef de quai</v>
          </cell>
        </row>
        <row r="25">
          <cell r="B25" t="str">
            <v>LAGIER Vivien</v>
          </cell>
          <cell r="C25" t="str">
            <v>H</v>
          </cell>
          <cell r="D25" t="str">
            <v>France</v>
          </cell>
          <cell r="E25" t="str">
            <v/>
          </cell>
          <cell r="F25">
            <v>31293</v>
          </cell>
          <cell r="G25" t="str">
            <v/>
          </cell>
          <cell r="H25">
            <v>44440</v>
          </cell>
          <cell r="I25" t="str">
            <v/>
          </cell>
          <cell r="J25" t="str">
            <v/>
          </cell>
          <cell r="K25">
            <v>44440.333333333336</v>
          </cell>
          <cell r="L25" t="str">
            <v>VALENCE</v>
          </cell>
          <cell r="M25" t="str">
            <v>Affréteur</v>
          </cell>
        </row>
        <row r="26">
          <cell r="B26" t="str">
            <v>LELIEVRE-OUDIN Fabien</v>
          </cell>
          <cell r="C26" t="str">
            <v>H</v>
          </cell>
          <cell r="D26" t="str">
            <v>FRANCE</v>
          </cell>
          <cell r="E26" t="str">
            <v/>
          </cell>
          <cell r="F26">
            <v>26156</v>
          </cell>
          <cell r="G26" t="str">
            <v/>
          </cell>
          <cell r="H26">
            <v>45931</v>
          </cell>
          <cell r="I26" t="str">
            <v/>
          </cell>
          <cell r="J26" t="str">
            <v/>
          </cell>
          <cell r="K26">
            <v>45931</v>
          </cell>
          <cell r="L26" t="str">
            <v>PUSIGNAN</v>
          </cell>
          <cell r="M26" t="str">
            <v>Affréteur</v>
          </cell>
        </row>
        <row r="27">
          <cell r="B27" t="str">
            <v>MERLE Xavier</v>
          </cell>
          <cell r="C27" t="str">
            <v>H</v>
          </cell>
          <cell r="D27" t="str">
            <v>France</v>
          </cell>
          <cell r="E27" t="str">
            <v/>
          </cell>
          <cell r="F27">
            <v>29105</v>
          </cell>
          <cell r="G27" t="str">
            <v/>
          </cell>
          <cell r="H27">
            <v>43556</v>
          </cell>
          <cell r="I27" t="str">
            <v/>
          </cell>
          <cell r="J27" t="str">
            <v/>
          </cell>
          <cell r="K27">
            <v>43556</v>
          </cell>
          <cell r="L27" t="str">
            <v>PUSIGNAN</v>
          </cell>
          <cell r="M27" t="str">
            <v>Chauffeur SPL</v>
          </cell>
        </row>
        <row r="28">
          <cell r="B28" t="str">
            <v>MOKRANI Eric</v>
          </cell>
          <cell r="C28" t="str">
            <v>H</v>
          </cell>
          <cell r="D28" t="str">
            <v>France</v>
          </cell>
          <cell r="E28" t="str">
            <v/>
          </cell>
          <cell r="F28">
            <v>26580</v>
          </cell>
          <cell r="G28" t="str">
            <v/>
          </cell>
          <cell r="H28">
            <v>36026</v>
          </cell>
          <cell r="I28" t="str">
            <v/>
          </cell>
          <cell r="J28" t="str">
            <v/>
          </cell>
          <cell r="K28">
            <v>36026</v>
          </cell>
          <cell r="L28" t="str">
            <v>ROGNAC</v>
          </cell>
          <cell r="M28" t="str">
            <v>Chauffeur PL</v>
          </cell>
        </row>
        <row r="29">
          <cell r="B29" t="str">
            <v>MORIM Enola</v>
          </cell>
          <cell r="C29" t="str">
            <v>F</v>
          </cell>
          <cell r="D29" t="str">
            <v>France</v>
          </cell>
          <cell r="E29" t="str">
            <v/>
          </cell>
          <cell r="F29">
            <v>37594</v>
          </cell>
          <cell r="G29" t="str">
            <v/>
          </cell>
          <cell r="H29">
            <v>45165</v>
          </cell>
          <cell r="I29" t="str">
            <v/>
          </cell>
          <cell r="J29" t="str">
            <v/>
          </cell>
          <cell r="K29">
            <v>44435</v>
          </cell>
          <cell r="L29" t="str">
            <v>PUSIGNAN</v>
          </cell>
          <cell r="M29" t="str">
            <v>Responsable Exploitation</v>
          </cell>
        </row>
        <row r="30">
          <cell r="B30" t="str">
            <v>NICAISE Frédéric</v>
          </cell>
          <cell r="C30" t="str">
            <v>H</v>
          </cell>
          <cell r="D30" t="str">
            <v>France</v>
          </cell>
          <cell r="E30" t="str">
            <v/>
          </cell>
          <cell r="F30">
            <v>27685</v>
          </cell>
          <cell r="G30" t="str">
            <v/>
          </cell>
          <cell r="H30">
            <v>44515</v>
          </cell>
          <cell r="I30" t="str">
            <v/>
          </cell>
          <cell r="J30" t="str">
            <v/>
          </cell>
          <cell r="K30">
            <v>44515</v>
          </cell>
          <cell r="L30" t="str">
            <v>PUSIGNAN</v>
          </cell>
          <cell r="M30" t="str">
            <v>Conducteur PL</v>
          </cell>
        </row>
        <row r="31">
          <cell r="B31" t="str">
            <v>PAVARD Joel</v>
          </cell>
          <cell r="C31" t="str">
            <v>H</v>
          </cell>
          <cell r="D31" t="str">
            <v>France</v>
          </cell>
          <cell r="E31" t="str">
            <v/>
          </cell>
          <cell r="F31">
            <v>23348</v>
          </cell>
          <cell r="G31" t="str">
            <v/>
          </cell>
          <cell r="H31">
            <v>37734</v>
          </cell>
          <cell r="I31" t="str">
            <v/>
          </cell>
          <cell r="J31" t="str">
            <v/>
          </cell>
          <cell r="K31">
            <v>37734</v>
          </cell>
          <cell r="L31" t="str">
            <v>ROGNAC</v>
          </cell>
          <cell r="M31" t="str">
            <v>Chauffeur PL</v>
          </cell>
        </row>
        <row r="32">
          <cell r="B32" t="str">
            <v>PENNACCHI Eric</v>
          </cell>
          <cell r="C32" t="str">
            <v>H</v>
          </cell>
          <cell r="D32" t="str">
            <v>FRANCE</v>
          </cell>
          <cell r="E32" t="str">
            <v/>
          </cell>
          <cell r="F32">
            <v>26320</v>
          </cell>
          <cell r="G32" t="str">
            <v/>
          </cell>
          <cell r="H32">
            <v>45337</v>
          </cell>
          <cell r="I32" t="str">
            <v/>
          </cell>
          <cell r="J32" t="str">
            <v/>
          </cell>
          <cell r="K32">
            <v>45337</v>
          </cell>
          <cell r="L32" t="str">
            <v>ROGNAC</v>
          </cell>
          <cell r="M32" t="str">
            <v>Conducteur PL</v>
          </cell>
        </row>
        <row r="33">
          <cell r="B33" t="str">
            <v>REGUIG Boris</v>
          </cell>
          <cell r="C33" t="str">
            <v>H</v>
          </cell>
          <cell r="D33" t="str">
            <v>FRANCE</v>
          </cell>
          <cell r="E33" t="str">
            <v/>
          </cell>
          <cell r="F33">
            <v>30315</v>
          </cell>
          <cell r="G33" t="str">
            <v/>
          </cell>
          <cell r="H33">
            <v>45474</v>
          </cell>
          <cell r="I33" t="str">
            <v/>
          </cell>
          <cell r="J33" t="str">
            <v/>
          </cell>
          <cell r="K33">
            <v>45474</v>
          </cell>
          <cell r="L33" t="str">
            <v>PUSIGNAN</v>
          </cell>
          <cell r="M33" t="str">
            <v>Exploitant affréteur</v>
          </cell>
        </row>
        <row r="34">
          <cell r="B34" t="str">
            <v>ROCHAS Christelle</v>
          </cell>
          <cell r="C34" t="str">
            <v>F</v>
          </cell>
          <cell r="D34" t="str">
            <v>FRANCE</v>
          </cell>
          <cell r="E34" t="str">
            <v/>
          </cell>
          <cell r="F34">
            <v>26424</v>
          </cell>
          <cell r="G34" t="str">
            <v/>
          </cell>
          <cell r="H34">
            <v>45901</v>
          </cell>
          <cell r="I34" t="str">
            <v/>
          </cell>
          <cell r="J34" t="str">
            <v/>
          </cell>
          <cell r="K34">
            <v>45901</v>
          </cell>
          <cell r="L34" t="str">
            <v>PUSIGNAN</v>
          </cell>
          <cell r="M34" t="str">
            <v>Commerciale</v>
          </cell>
        </row>
        <row r="35">
          <cell r="B35" t="str">
            <v>RODRIGUES Paula Cristina</v>
          </cell>
          <cell r="C35" t="str">
            <v>F</v>
          </cell>
          <cell r="D35" t="str">
            <v>France</v>
          </cell>
          <cell r="E35" t="str">
            <v/>
          </cell>
          <cell r="F35">
            <v>23227</v>
          </cell>
          <cell r="G35" t="str">
            <v/>
          </cell>
          <cell r="H35">
            <v>38586</v>
          </cell>
          <cell r="I35" t="str">
            <v/>
          </cell>
          <cell r="J35" t="str">
            <v/>
          </cell>
          <cell r="K35">
            <v>38586</v>
          </cell>
          <cell r="L35" t="str">
            <v>VALENCE</v>
          </cell>
          <cell r="M35" t="str">
            <v>Chauffeur PL</v>
          </cell>
        </row>
        <row r="36">
          <cell r="B36" t="str">
            <v>TALBI Mehdi</v>
          </cell>
          <cell r="C36" t="str">
            <v>H</v>
          </cell>
          <cell r="D36" t="str">
            <v>France</v>
          </cell>
          <cell r="E36" t="str">
            <v/>
          </cell>
          <cell r="F36">
            <v>36214</v>
          </cell>
          <cell r="G36" t="str">
            <v/>
          </cell>
          <cell r="H36">
            <v>44440</v>
          </cell>
          <cell r="I36" t="str">
            <v/>
          </cell>
          <cell r="J36" t="str">
            <v/>
          </cell>
          <cell r="K36">
            <v>44440</v>
          </cell>
          <cell r="L36" t="str">
            <v>VALENCE</v>
          </cell>
          <cell r="M36" t="str">
            <v>Conducteur PL</v>
          </cell>
        </row>
        <row r="37">
          <cell r="B37" t="str">
            <v>TESTARD Jean-Claude</v>
          </cell>
          <cell r="C37" t="str">
            <v>H</v>
          </cell>
          <cell r="D37" t="str">
            <v>France</v>
          </cell>
          <cell r="E37" t="str">
            <v/>
          </cell>
          <cell r="F37">
            <v>24052</v>
          </cell>
          <cell r="G37" t="str">
            <v/>
          </cell>
          <cell r="H37">
            <v>41334</v>
          </cell>
          <cell r="I37" t="str">
            <v/>
          </cell>
          <cell r="J37" t="str">
            <v/>
          </cell>
          <cell r="K37">
            <v>33512</v>
          </cell>
          <cell r="L37" t="str">
            <v>VALENCE</v>
          </cell>
          <cell r="M37" t="str">
            <v>Chauffeur PL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E5E8B-6C5B-45A3-AB7A-C5B953C3E599}" name="TPersonnel" displayName="TPersonnel" ref="A3:AR37" totalsRowShown="0" headerRowDxfId="51" headerRowCellStyle="Milliers">
  <autoFilter ref="A3:AR37" xr:uid="{684E5E8B-6C5B-45A3-AB7A-C5B953C3E599}"/>
  <sortState xmlns:xlrd2="http://schemas.microsoft.com/office/spreadsheetml/2017/richdata2" ref="A4:AR37">
    <sortCondition ref="A3:A37"/>
  </sortState>
  <tableColumns count="44">
    <tableColumn id="1" xr3:uid="{110FCD25-A60A-44D4-9BE8-CB6408468314}" name="ID" dataDxfId="50"/>
    <tableColumn id="2" xr3:uid="{0564E483-68F7-4DD8-98A3-6BAEB1B6F5FB}" name="Fonction à supprimer" dataDxfId="49"/>
    <tableColumn id="3" xr3:uid="{55D9D0E7-C31C-4B0E-A2FE-253A7557D4AF}" name="Nom" dataDxfId="48"/>
    <tableColumn id="4" xr3:uid="{4CA8B566-6A3D-451B-A343-FDC83D5A0C61}" name="Prénom" dataDxfId="47"/>
    <tableColumn id="5" xr3:uid="{84067923-60A0-4A7C-93AC-35E5ED7982C9}" name="Site" dataDxfId="46"/>
    <tableColumn id="6" xr3:uid="{8FF579A5-61F6-4044-923E-CA689FC9DAA6}" name="Fonction" dataDxfId="45"/>
    <tableColumn id="7" xr3:uid="{76EFA997-A8A9-48A3-BAFF-382EA00782F1}" name="Type de contrat" dataDxfId="44"/>
    <tableColumn id="8" xr3:uid="{FB4C123B-8136-46BE-AC83-5574820F6CEA}" name="Catégorie" dataDxfId="43"/>
    <tableColumn id="9" xr3:uid="{8E3743ED-2FFE-4C78-A206-9BB651C0E31D}" name="Coef" dataDxfId="42"/>
    <tableColumn id="10" xr3:uid="{BBCC2183-2B4B-406F-8C98-B3E804DCB188}" name="Sexe" dataDxfId="41"/>
    <tableColumn id="11" xr3:uid="{0B5E9C57-1BD3-4261-8D4C-10BC85419510}" name="Date Entree" dataDxfId="40"/>
    <tableColumn id="12" xr3:uid="{9EEA67B4-E1E7-4F9D-8BCA-DE2123DED445}" name="Date d'anc." dataDxfId="39"/>
    <tableColumn id="13" xr3:uid="{BED2E67B-1E8A-47B6-AD1B-D09EC75B78C0}" name="Date de naissance" dataDxfId="38"/>
    <tableColumn id="14" xr3:uid="{CE160D77-E556-4E82-8B38-1B3BAF025E6C}" name="Salaire Brut Mensuel (Base brut CP)" dataDxfId="37"/>
    <tableColumn id="15" xr3:uid="{274CD0F6-0AFD-49AB-8C71-25C2DF8A7D5D}" name="Salaire Brut annuel" dataDxfId="36"/>
    <tableColumn id="16" xr3:uid="{7C342415-24A8-4239-9F45-15C22B836155}" name="Nb CP Acquis" dataDxfId="35" dataCellStyle="Milliers"/>
    <tableColumn id="17" xr3:uid="{689ABC07-E7A4-46B5-AF12-3907A1C5EF39}" name="Date de sortie théorique" dataDxfId="34">
      <calculatedColumnFormula>IF(UPPER(B4)="OUI",'📈 Dashboard'!$B$37,"")</calculatedColumnFormula>
    </tableColumn>
    <tableColumn id="18" xr3:uid="{54567578-28B6-4C0A-A80A-6D99754F7156}" name="Salaire Brut de référence" dataDxfId="33">
      <calculatedColumnFormula>MAX(N4,O4/12)</calculatedColumnFormula>
    </tableColumn>
    <tableColumn id="19" xr3:uid="{C67A0E90-1922-4CB0-BBA8-2076C7F98C2C}" name="Provision CP" dataDxfId="32"/>
    <tableColumn id="20" xr3:uid="{0D600F28-FF05-43EC-A802-941503D78854}" name="Ancienneté (ans) réelle" dataDxfId="31">
      <calculatedColumnFormula>IF(L4="",(TODAY()-K4)/365.25,MAX((TODAY()-K4)/365.25,(TODAY()-L4)/365.25))</calculatedColumnFormula>
    </tableColumn>
    <tableColumn id="21" xr3:uid="{F46DCE65-589E-489F-AE46-591069DBF21F}" name="Age" dataDxfId="30">
      <calculatedColumnFormula>IF(M4="","",(TODAY()-M4)/365.25)</calculatedColumnFormula>
    </tableColumn>
    <tableColumn id="22" xr3:uid="{E19D96AD-3BF8-4E21-B2C2-5038A9F9E366}" name="Salaire Annuel Total" dataDxfId="29">
      <calculatedColumnFormula>N4*12</calculatedColumnFormula>
    </tableColumn>
    <tableColumn id="23" xr3:uid="{A5575AAF-C16E-4214-A50E-6705F83ECD3E}" name="Préavis (mois)">
      <calculatedColumnFormula>IF(H4="Cadre",3,IF(H4="Haute maitrise",2,IF(OR(H4="Agent Maitrise",H4="Agent de maitrise"),IF(T4&lt;2/12,0,IF(T4&lt;2,1,2)),IF(OR(H4="Ouvrier"),IF(T4&lt;6/12,1/4,IF(T4&lt;2,1,2)),IF(OR(H4="Employe",H4="Employé"),IF(T4&lt;1/12,0,IF(T4&lt;2,1,2)),2)))))</calculatedColumnFormula>
    </tableColumn>
    <tableColumn id="24" xr3:uid="{1B8558AF-9998-4755-A6AD-77F61C5B47D5}" name="Ancienneté (ans) à la date théorique de sortie" dataDxfId="28">
      <calculatedColumnFormula>IF(Q4="",T4,(Q4-K4)/365.25)</calculatedColumnFormula>
    </tableColumn>
    <tableColumn id="25" xr3:uid="{603E4940-C4FB-40DF-AF7D-2A4E2DBE4EDF}" name="Salarié Protégé" dataDxfId="27"/>
    <tableColumn id="26" xr3:uid="{20294E4C-2DF5-4099-BB1A-85D25DE13DEB}" name="Situation familiale" dataDxfId="26"/>
    <tableColumn id="27" xr3:uid="{A7E5C24F-1CBD-4140-8913-4A4E2FF4D47B}" name="Nb d'enfants" dataDxfId="25"/>
    <tableColumn id="28" xr3:uid="{CB9BC227-B53B-43AE-AE45-0F97ED217075}" name="Charge de famille" dataDxfId="24"/>
    <tableColumn id="29" xr3:uid="{D252A125-4330-485D-83D1-514261E7738F}" name="Difficulté de reclassement" dataDxfId="23"/>
    <tableColumn id="30" xr3:uid="{83BA5BAC-A08A-40FA-906E-4B5C81928BAF}" name="Nb de points"/>
    <tableColumn id="31" xr3:uid="{D71402DF-9D32-452E-871B-9D8F02E73961}" name="Commentaires"/>
    <tableColumn id="32" xr3:uid="{BA5E3A54-0917-4AED-9F2E-D99AAC2E2679}" name="CSP (contrat de sécurisation professionnel)"/>
    <tableColumn id="33" xr3:uid="{6FFD5A7A-2A60-43AE-83BE-957A2E7BD23F}" name="INDEM LÉGALE" dataDxfId="22" dataCellStyle="Monétaire">
      <calculatedColumnFormula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calculatedColumnFormula>
    </tableColumn>
    <tableColumn id="34" xr3:uid="{0A2B845C-5215-4740-A28C-C67C6F698D9A}" name="INDEM CONV." dataDxfId="21" dataCellStyle="Monétaire">
      <calculatedColumnFormula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calculatedColumnFormula>
    </tableColumn>
    <tableColumn id="35" xr3:uid="{8D856158-0BB1-4B6D-9674-B99E71396061}" name="COMPARAISON" dataDxfId="20">
      <calculatedColumnFormula>IF(TPersonnel[[#This Row],[INDEM LÉGALE]]=0,"",IF(TPersonnel[[#This Row],[INDEM LÉGALE]]&gt;TPersonnel[[#This Row],[INDEM CONV.]],"LEGAL","CONVENTIONNEL"))</calculatedColumnFormula>
    </tableColumn>
    <tableColumn id="36" xr3:uid="{36E4BEDB-8ADA-4CD5-9D3A-D8062BB0320A}" name="INDEM RETENUE" dataDxfId="19" dataCellStyle="Monétaire">
      <calculatedColumnFormula>MAX(TPersonnel[[#This Row],[INDEM LÉGALE]],TPersonnel[[#This Row],[INDEM CONV.]])</calculatedColumnFormula>
    </tableColumn>
    <tableColumn id="37" xr3:uid="{AE35FBAC-EAB6-430B-8FBA-EA9EE540B660}" name="Majoration PSE" dataDxfId="18" dataCellStyle="Monétaire">
      <calculatedColumnFormula>TPersonnel[[#This Row],[INDEM RETENUE]]*'⚙️ Parametres'!$B$5</calculatedColumnFormula>
    </tableColumn>
    <tableColumn id="38" xr3:uid="{F5C5DEDA-FC7C-4951-84C8-2BCB8BA2B512}" name="TOTAL INDEM" dataDxfId="17" dataCellStyle="Monétaire">
      <calculatedColumnFormula>TPersonnel[[#This Row],[INDEM RETENUE]]+TPersonnel[[#This Row],[Majoration PSE]]</calculatedColumnFormula>
    </tableColumn>
    <tableColumn id="39" xr3:uid="{91EDA5DB-7298-460B-8327-A2B850700EDF}" name="Préavis Calc (mois)" dataDxfId="16">
      <calculatedColumnFormula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calculatedColumnFormula>
    </tableColumn>
    <tableColumn id="40" xr3:uid="{824B581D-5221-47BA-A1BB-297C047E0BFD}" name="Indem Préavis Brut" dataDxfId="15" dataCellStyle="Monétaire">
      <calculatedColumnFormula>IF(UPPER(TPersonnel[[#This Row],[Fonction à supprimer]])="NON",0,TPersonnel[[#This Row],[Préavis Calc (mois)]]*TPersonnel[[#This Row],[Salaire Brut de référence]])</calculatedColumnFormula>
    </tableColumn>
    <tableColumn id="41" xr3:uid="{F5F90D76-6897-4570-9073-324F84DDDD7D}" name="CP Calc (jrs)" dataDxfId="14">
      <calculatedColumnFormula>IF(TPersonnel[[#This Row],[Fonction à supprimer]]="NON",0,TPersonnel[[#This Row],[Nb CP Acquis]]+TPersonnel[[#This Row],[Préavis Calc (mois)]]*2.08)</calculatedColumnFormula>
    </tableColumn>
    <tableColumn id="42" xr3:uid="{F65E9525-1B98-45FC-9A1E-3DE0C128E6CB}" name="Indem CP" dataDxfId="13" dataCellStyle="Monétaire">
      <calculatedColumnFormula>TPersonnel[[#This Row],[CP Calc (jrs)]]*TPersonnel[[#This Row],[Salaire Brut de référence]]/21.67</calculatedColumnFormula>
    </tableColumn>
    <tableColumn id="43" xr3:uid="{52F8F821-A597-41B9-BC37-4524A846AE83}" name="COÛT Charges Patronales" dataDxfId="12">
      <calculatedColumnFormula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calculatedColumnFormula>
    </tableColumn>
    <tableColumn id="44" xr3:uid="{AC710ACC-91A4-4C6E-8774-7FDC02F583EA}" name="COÛT TOTAL" dataDxfId="11" dataCellStyle="Monétaire">
      <calculatedColumnFormula>TPersonnel[[#This Row],[TOTAL INDEM]]+TPersonnel[[#This Row],[Indem Préavis Brut]]+TPersonnel[[#This Row],[Indem CP]]+TPersonnel[[#This Row],[COÛT Charges Patronales]]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BBCA13-A5CE-4066-8549-B2D4E4FFDE98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0"/>
  <sheetViews>
    <sheetView showGridLines="0" tabSelected="1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B4" sqref="B4"/>
    </sheetView>
  </sheetViews>
  <sheetFormatPr baseColWidth="10" defaultColWidth="9" defaultRowHeight="14.25" x14ac:dyDescent="0.45"/>
  <cols>
    <col min="1" max="1" width="6" style="185" customWidth="1"/>
    <col min="2" max="2" width="20" customWidth="1"/>
    <col min="3" max="4" width="15" customWidth="1"/>
    <col min="5" max="5" width="12" customWidth="1"/>
    <col min="6" max="7" width="18" customWidth="1"/>
    <col min="8" max="8" width="15" customWidth="1"/>
    <col min="9" max="9" width="8" style="188" customWidth="1"/>
    <col min="10" max="10" width="8" customWidth="1"/>
    <col min="11" max="11" width="12.1328125" customWidth="1"/>
    <col min="12" max="12" width="12" customWidth="1"/>
    <col min="13" max="13" width="17.265625" customWidth="1"/>
    <col min="14" max="14" width="31.265625" customWidth="1"/>
    <col min="15" max="15" width="18" customWidth="1"/>
    <col min="16" max="16" width="14.1328125" style="66" customWidth="1"/>
    <col min="17" max="17" width="23.59765625" style="66" customWidth="1"/>
    <col min="18" max="18" width="16.3984375" customWidth="1"/>
    <col min="19" max="19" width="16" customWidth="1"/>
    <col min="20" max="20" width="13.86328125" customWidth="1"/>
    <col min="21" max="21" width="8" customWidth="1"/>
    <col min="22" max="22" width="18.86328125" customWidth="1"/>
    <col min="23" max="23" width="14" customWidth="1"/>
    <col min="24" max="24" width="17.86328125" customWidth="1"/>
    <col min="25" max="25" width="15.73046875" customWidth="1"/>
    <col min="26" max="26" width="18.265625" customWidth="1"/>
    <col min="27" max="27" width="14" customWidth="1"/>
    <col min="28" max="28" width="17.73046875" customWidth="1"/>
    <col min="29" max="29" width="24.73046875" customWidth="1"/>
    <col min="30" max="30" width="13" customWidth="1"/>
    <col min="31" max="31" width="15.3984375" customWidth="1"/>
    <col min="32" max="32" width="13.3984375" customWidth="1"/>
    <col min="33" max="34" width="11.265625" style="288" bestFit="1" customWidth="1"/>
    <col min="36" max="36" width="11.265625" style="288" bestFit="1" customWidth="1"/>
    <col min="37" max="37" width="9.1328125" style="288" bestFit="1" customWidth="1"/>
    <col min="38" max="38" width="11.265625" style="288" bestFit="1" customWidth="1"/>
    <col min="40" max="40" width="10.265625" style="288" bestFit="1" customWidth="1"/>
    <col min="42" max="42" width="10.265625" style="288" bestFit="1" customWidth="1"/>
    <col min="44" max="44" width="11.265625" style="288" bestFit="1" customWidth="1"/>
  </cols>
  <sheetData>
    <row r="1" spans="1:44" ht="18" x14ac:dyDescent="0.55000000000000004">
      <c r="A1" s="183" t="s">
        <v>0</v>
      </c>
      <c r="P1" s="64"/>
      <c r="Q1" s="64"/>
    </row>
    <row r="3" spans="1:44" s="168" customFormat="1" ht="57" x14ac:dyDescent="0.45">
      <c r="A3" s="184" t="s">
        <v>1</v>
      </c>
      <c r="B3" s="176" t="s">
        <v>2</v>
      </c>
      <c r="C3" s="177" t="s">
        <v>3</v>
      </c>
      <c r="D3" s="177" t="s">
        <v>4</v>
      </c>
      <c r="E3" s="177" t="s">
        <v>5</v>
      </c>
      <c r="F3" s="177" t="s">
        <v>6</v>
      </c>
      <c r="G3" s="178" t="s">
        <v>7</v>
      </c>
      <c r="H3" s="177" t="s">
        <v>8</v>
      </c>
      <c r="I3" s="189" t="s">
        <v>9</v>
      </c>
      <c r="J3" s="177" t="s">
        <v>10</v>
      </c>
      <c r="K3" s="177" t="s">
        <v>11</v>
      </c>
      <c r="L3" s="177" t="s">
        <v>12</v>
      </c>
      <c r="M3" s="177" t="s">
        <v>13</v>
      </c>
      <c r="N3" s="178" t="s">
        <v>14</v>
      </c>
      <c r="O3" s="177" t="s">
        <v>15</v>
      </c>
      <c r="P3" s="179" t="s">
        <v>16</v>
      </c>
      <c r="Q3" s="179" t="s">
        <v>17</v>
      </c>
      <c r="R3" s="176" t="s">
        <v>18</v>
      </c>
      <c r="S3" s="187" t="s">
        <v>19</v>
      </c>
      <c r="T3" s="176" t="s">
        <v>20</v>
      </c>
      <c r="U3" s="176" t="s">
        <v>21</v>
      </c>
      <c r="V3" s="176" t="s">
        <v>22</v>
      </c>
      <c r="W3" s="176" t="s">
        <v>23</v>
      </c>
      <c r="X3" s="176" t="s">
        <v>24</v>
      </c>
      <c r="Y3" s="179" t="s">
        <v>25</v>
      </c>
      <c r="Z3" s="179" t="s">
        <v>26</v>
      </c>
      <c r="AA3" s="179" t="s">
        <v>27</v>
      </c>
      <c r="AB3" s="179" t="s">
        <v>28</v>
      </c>
      <c r="AC3" s="179" t="s">
        <v>29</v>
      </c>
      <c r="AD3" s="176" t="s">
        <v>30</v>
      </c>
      <c r="AE3" s="179" t="s">
        <v>31</v>
      </c>
      <c r="AF3" s="179" t="s">
        <v>32</v>
      </c>
      <c r="AG3" s="312" t="s">
        <v>33</v>
      </c>
      <c r="AH3" s="312" t="s">
        <v>34</v>
      </c>
      <c r="AI3" s="313" t="s">
        <v>35</v>
      </c>
      <c r="AJ3" s="312" t="s">
        <v>36</v>
      </c>
      <c r="AK3" s="312" t="s">
        <v>37</v>
      </c>
      <c r="AL3" s="312" t="s">
        <v>38</v>
      </c>
      <c r="AM3" s="313" t="s">
        <v>39</v>
      </c>
      <c r="AN3" s="312" t="s">
        <v>40</v>
      </c>
      <c r="AO3" s="313" t="s">
        <v>41</v>
      </c>
      <c r="AP3" s="312" t="s">
        <v>42</v>
      </c>
      <c r="AQ3" s="313" t="s">
        <v>43</v>
      </c>
      <c r="AR3" s="312" t="s">
        <v>44</v>
      </c>
    </row>
    <row r="4" spans="1:44" x14ac:dyDescent="0.45">
      <c r="A4" s="186">
        <v>3</v>
      </c>
      <c r="B4" s="61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190" t="s">
        <v>52</v>
      </c>
      <c r="J4" s="62" t="s">
        <v>53</v>
      </c>
      <c r="K4" s="7">
        <v>39153</v>
      </c>
      <c r="L4" s="7">
        <v>39153</v>
      </c>
      <c r="M4" s="7">
        <v>25026</v>
      </c>
      <c r="N4" s="9">
        <v>2320.54</v>
      </c>
      <c r="O4" s="9"/>
      <c r="P4" s="65">
        <v>30.58</v>
      </c>
      <c r="Q4" s="7" t="str">
        <f>IF(UPPER(B4)="OUI",'📈 Dashboard'!$B$37,"")</f>
        <v/>
      </c>
      <c r="R4" s="9">
        <f t="shared" ref="R4:R37" si="0">MAX(N4,O4/12)</f>
        <v>2320.54</v>
      </c>
      <c r="S4" s="9">
        <v>3223.7200000000003</v>
      </c>
      <c r="T4" s="8">
        <f t="shared" ref="T4:T37" ca="1" si="1">IF(L4="",(TODAY()-K4)/365.25,MAX((TODAY()-K4)/365.25,(TODAY()-L4)/365.25))</f>
        <v>19.01163586584531</v>
      </c>
      <c r="U4" s="8">
        <f t="shared" ref="U4:U37" ca="1" si="2">IF(M4="","",(TODAY()-M4)/365.25)</f>
        <v>57.68925393566051</v>
      </c>
      <c r="V4" s="10">
        <f t="shared" ref="V4:V37" si="3">N4*12</f>
        <v>27846.48</v>
      </c>
      <c r="W4">
        <f t="shared" ref="W4:W37" ca="1" si="4">IF(H4="Cadre",3,IF(H4="Haute maitrise",2,IF(OR(H4="Agent Maitrise",H4="Agent de maitrise"),IF(T4&lt;2/12,0,IF(T4&lt;2,1,2)),IF(OR(H4="Ouvrier"),IF(T4&lt;6/12,1/4,IF(T4&lt;2,1,2)),IF(OR(H4="Employe",H4="Employé"),IF(T4&lt;1/12,0,IF(T4&lt;2,1,2)),2)))))</f>
        <v>2</v>
      </c>
      <c r="X4" s="8">
        <f t="shared" ref="X4:X37" ca="1" si="5">IF(Q4="",T4,(Q4-K4)/365.25)</f>
        <v>19.01163586584531</v>
      </c>
      <c r="Y4" s="6"/>
      <c r="Z4" s="9"/>
      <c r="AA4" s="9"/>
      <c r="AB4" s="9"/>
      <c r="AC4" s="6"/>
      <c r="AG4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4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4" t="str">
        <f>IF(TPersonnel[[#This Row],[INDEM LÉGALE]]=0,"",IF(TPersonnel[[#This Row],[INDEM LÉGALE]]&gt;TPersonnel[[#This Row],[INDEM CONV.]],"LEGAL","CONVENTIONNEL"))</f>
        <v/>
      </c>
      <c r="AJ4" s="288">
        <f>MAX(TPersonnel[[#This Row],[INDEM LÉGALE]],TPersonnel[[#This Row],[INDEM CONV.]])</f>
        <v>0</v>
      </c>
      <c r="AK4" s="288">
        <f>TPersonnel[[#This Row],[INDEM RETENUE]]*'⚙️ Parametres'!$B$5</f>
        <v>0</v>
      </c>
      <c r="AL4" s="288">
        <f>TPersonnel[[#This Row],[INDEM RETENUE]]+TPersonnel[[#This Row],[Majoration PSE]]</f>
        <v>0</v>
      </c>
      <c r="AM4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4" s="288">
        <f>IF(UPPER(TPersonnel[[#This Row],[Fonction à supprimer]])="NON",0,TPersonnel[[#This Row],[Préavis Calc (mois)]]*TPersonnel[[#This Row],[Salaire Brut de référence]])</f>
        <v>0</v>
      </c>
      <c r="AO4">
        <f>IF(TPersonnel[[#This Row],[Fonction à supprimer]]="NON",0,TPersonnel[[#This Row],[Nb CP Acquis]]+TPersonnel[[#This Row],[Préavis Calc (mois)]]*2.08)</f>
        <v>0</v>
      </c>
      <c r="AP4" s="288">
        <f>TPersonnel[[#This Row],[CP Calc (jrs)]]*TPersonnel[[#This Row],[Salaire Brut de référence]]/21.67</f>
        <v>0</v>
      </c>
      <c r="AQ4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4" s="288">
        <f>TPersonnel[[#This Row],[TOTAL INDEM]]+TPersonnel[[#This Row],[Indem Préavis Brut]]+TPersonnel[[#This Row],[Indem CP]]+TPersonnel[[#This Row],[COÛT Charges Patronales]]</f>
        <v>0</v>
      </c>
    </row>
    <row r="5" spans="1:44" x14ac:dyDescent="0.45">
      <c r="A5" s="186">
        <v>8</v>
      </c>
      <c r="B5" s="61" t="s">
        <v>45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50</v>
      </c>
      <c r="H5" s="6" t="s">
        <v>51</v>
      </c>
      <c r="I5" s="190" t="s">
        <v>52</v>
      </c>
      <c r="J5" s="62" t="s">
        <v>53</v>
      </c>
      <c r="K5" s="7">
        <v>35128</v>
      </c>
      <c r="L5" s="7">
        <v>35128</v>
      </c>
      <c r="M5" s="7">
        <v>27781</v>
      </c>
      <c r="N5" s="9">
        <v>2635.89</v>
      </c>
      <c r="O5" s="9"/>
      <c r="P5" s="65">
        <v>27.08</v>
      </c>
      <c r="Q5" s="7" t="str">
        <f>IF(UPPER(B5)="OUI",'📈 Dashboard'!$B$37,"")</f>
        <v/>
      </c>
      <c r="R5" s="9">
        <f t="shared" si="0"/>
        <v>2635.89</v>
      </c>
      <c r="S5" s="9">
        <v>3664.22</v>
      </c>
      <c r="T5" s="8">
        <f t="shared" ca="1" si="1"/>
        <v>30.031485284052017</v>
      </c>
      <c r="U5" s="8">
        <f t="shared" ca="1" si="2"/>
        <v>50.14647501711157</v>
      </c>
      <c r="V5" s="10">
        <f t="shared" si="3"/>
        <v>31630.68</v>
      </c>
      <c r="W5">
        <f t="shared" ca="1" si="4"/>
        <v>2</v>
      </c>
      <c r="X5" s="8">
        <f t="shared" ca="1" si="5"/>
        <v>30.031485284052017</v>
      </c>
      <c r="Y5" s="6"/>
      <c r="Z5" s="9"/>
      <c r="AA5" s="9"/>
      <c r="AB5" s="9"/>
      <c r="AC5" s="6"/>
      <c r="AG5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5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5" t="str">
        <f>IF(TPersonnel[[#This Row],[INDEM LÉGALE]]=0,"",IF(TPersonnel[[#This Row],[INDEM LÉGALE]]&gt;TPersonnel[[#This Row],[INDEM CONV.]],"LEGAL","CONVENTIONNEL"))</f>
        <v/>
      </c>
      <c r="AJ5" s="288">
        <f>MAX(TPersonnel[[#This Row],[INDEM LÉGALE]],TPersonnel[[#This Row],[INDEM CONV.]])</f>
        <v>0</v>
      </c>
      <c r="AK5" s="288">
        <f>TPersonnel[[#This Row],[INDEM RETENUE]]*'⚙️ Parametres'!$B$5</f>
        <v>0</v>
      </c>
      <c r="AL5" s="288">
        <f>TPersonnel[[#This Row],[INDEM RETENUE]]+TPersonnel[[#This Row],[Majoration PSE]]</f>
        <v>0</v>
      </c>
      <c r="AM5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5" s="288">
        <f>IF(UPPER(TPersonnel[[#This Row],[Fonction à supprimer]])="NON",0,TPersonnel[[#This Row],[Préavis Calc (mois)]]*TPersonnel[[#This Row],[Salaire Brut de référence]])</f>
        <v>0</v>
      </c>
      <c r="AO5">
        <f>IF(TPersonnel[[#This Row],[Fonction à supprimer]]="NON",0,TPersonnel[[#This Row],[Nb CP Acquis]]+TPersonnel[[#This Row],[Préavis Calc (mois)]]*2.08)</f>
        <v>0</v>
      </c>
      <c r="AP5" s="288">
        <f>TPersonnel[[#This Row],[CP Calc (jrs)]]*TPersonnel[[#This Row],[Salaire Brut de référence]]/21.67</f>
        <v>0</v>
      </c>
      <c r="AQ5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5" s="288">
        <f>TPersonnel[[#This Row],[TOTAL INDEM]]+TPersonnel[[#This Row],[Indem Préavis Brut]]+TPersonnel[[#This Row],[Indem CP]]+TPersonnel[[#This Row],[COÛT Charges Patronales]]</f>
        <v>0</v>
      </c>
    </row>
    <row r="6" spans="1:44" x14ac:dyDescent="0.45">
      <c r="A6" s="186">
        <v>9</v>
      </c>
      <c r="B6" s="61" t="s">
        <v>45</v>
      </c>
      <c r="C6" s="6" t="s">
        <v>54</v>
      </c>
      <c r="D6" s="6" t="s">
        <v>58</v>
      </c>
      <c r="E6" s="6" t="s">
        <v>48</v>
      </c>
      <c r="F6" s="6" t="s">
        <v>59</v>
      </c>
      <c r="G6" s="6" t="s">
        <v>50</v>
      </c>
      <c r="H6" s="6" t="s">
        <v>51</v>
      </c>
      <c r="I6" s="190" t="s">
        <v>60</v>
      </c>
      <c r="J6" s="62" t="s">
        <v>53</v>
      </c>
      <c r="K6" s="7">
        <v>35541</v>
      </c>
      <c r="L6" s="7">
        <v>35541</v>
      </c>
      <c r="M6" s="7">
        <v>28477</v>
      </c>
      <c r="N6" s="9">
        <v>2687.99</v>
      </c>
      <c r="O6" s="9"/>
      <c r="P6" s="65">
        <v>57.08</v>
      </c>
      <c r="Q6" s="7" t="str">
        <f>IF(UPPER(B6)="OUI",'📈 Dashboard'!$B$37,"")</f>
        <v/>
      </c>
      <c r="R6" s="9">
        <f t="shared" si="0"/>
        <v>2687.99</v>
      </c>
      <c r="S6" s="9">
        <v>7424.6</v>
      </c>
      <c r="T6" s="8">
        <f t="shared" ca="1" si="1"/>
        <v>28.90075290896646</v>
      </c>
      <c r="U6" s="8">
        <f t="shared" ca="1" si="2"/>
        <v>48.240930869267622</v>
      </c>
      <c r="V6" s="10">
        <f t="shared" si="3"/>
        <v>32255.879999999997</v>
      </c>
      <c r="W6">
        <f t="shared" ca="1" si="4"/>
        <v>2</v>
      </c>
      <c r="X6" s="8">
        <f t="shared" ca="1" si="5"/>
        <v>28.90075290896646</v>
      </c>
      <c r="Y6" s="6"/>
      <c r="Z6" s="9"/>
      <c r="AA6" s="9"/>
      <c r="AB6" s="9"/>
      <c r="AC6" s="6"/>
      <c r="AG6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6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6" t="str">
        <f>IF(TPersonnel[[#This Row],[INDEM LÉGALE]]=0,"",IF(TPersonnel[[#This Row],[INDEM LÉGALE]]&gt;TPersonnel[[#This Row],[INDEM CONV.]],"LEGAL","CONVENTIONNEL"))</f>
        <v/>
      </c>
      <c r="AJ6" s="288">
        <f>MAX(TPersonnel[[#This Row],[INDEM LÉGALE]],TPersonnel[[#This Row],[INDEM CONV.]])</f>
        <v>0</v>
      </c>
      <c r="AK6" s="288">
        <f>TPersonnel[[#This Row],[INDEM RETENUE]]*'⚙️ Parametres'!$B$5</f>
        <v>0</v>
      </c>
      <c r="AL6" s="288">
        <f>TPersonnel[[#This Row],[INDEM RETENUE]]+TPersonnel[[#This Row],[Majoration PSE]]</f>
        <v>0</v>
      </c>
      <c r="AM6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6" s="288">
        <f>IF(UPPER(TPersonnel[[#This Row],[Fonction à supprimer]])="NON",0,TPersonnel[[#This Row],[Préavis Calc (mois)]]*TPersonnel[[#This Row],[Salaire Brut de référence]])</f>
        <v>0</v>
      </c>
      <c r="AO6">
        <f>IF(TPersonnel[[#This Row],[Fonction à supprimer]]="NON",0,TPersonnel[[#This Row],[Nb CP Acquis]]+TPersonnel[[#This Row],[Préavis Calc (mois)]]*2.08)</f>
        <v>0</v>
      </c>
      <c r="AP6" s="288">
        <f>TPersonnel[[#This Row],[CP Calc (jrs)]]*TPersonnel[[#This Row],[Salaire Brut de référence]]/21.67</f>
        <v>0</v>
      </c>
      <c r="AQ6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6" s="288">
        <f>TPersonnel[[#This Row],[TOTAL INDEM]]+TPersonnel[[#This Row],[Indem Préavis Brut]]+TPersonnel[[#This Row],[Indem CP]]+TPersonnel[[#This Row],[COÛT Charges Patronales]]</f>
        <v>0</v>
      </c>
    </row>
    <row r="7" spans="1:44" x14ac:dyDescent="0.45">
      <c r="A7" s="186">
        <v>18</v>
      </c>
      <c r="B7" s="61" t="s">
        <v>45</v>
      </c>
      <c r="C7" s="6" t="s">
        <v>61</v>
      </c>
      <c r="D7" s="6" t="s">
        <v>62</v>
      </c>
      <c r="E7" s="6" t="s">
        <v>63</v>
      </c>
      <c r="F7" s="6" t="s">
        <v>57</v>
      </c>
      <c r="G7" s="6" t="s">
        <v>50</v>
      </c>
      <c r="H7" s="6" t="s">
        <v>51</v>
      </c>
      <c r="I7" s="190" t="s">
        <v>60</v>
      </c>
      <c r="J7" s="62" t="s">
        <v>53</v>
      </c>
      <c r="K7" s="7">
        <v>37734</v>
      </c>
      <c r="L7" s="7">
        <v>37734</v>
      </c>
      <c r="M7" s="7">
        <v>23348</v>
      </c>
      <c r="N7" s="9">
        <v>3098.37</v>
      </c>
      <c r="O7" s="9"/>
      <c r="P7" s="65">
        <v>22.08</v>
      </c>
      <c r="Q7" s="7" t="str">
        <f>IF(UPPER(B7)="OUI",'📈 Dashboard'!$B$37,"")</f>
        <v/>
      </c>
      <c r="R7" s="9">
        <f t="shared" si="0"/>
        <v>3098.37</v>
      </c>
      <c r="S7" s="9">
        <v>3362.7700000000004</v>
      </c>
      <c r="T7" s="8">
        <f t="shared" ca="1" si="1"/>
        <v>22.896646132785762</v>
      </c>
      <c r="U7" s="8">
        <f t="shared" ca="1" si="2"/>
        <v>62.283367556468171</v>
      </c>
      <c r="V7" s="10">
        <f t="shared" si="3"/>
        <v>37180.44</v>
      </c>
      <c r="W7">
        <f t="shared" ca="1" si="4"/>
        <v>2</v>
      </c>
      <c r="X7" s="8">
        <f t="shared" ca="1" si="5"/>
        <v>22.896646132785762</v>
      </c>
      <c r="Y7" s="6"/>
      <c r="Z7" s="9"/>
      <c r="AA7" s="9"/>
      <c r="AB7" s="9"/>
      <c r="AC7" s="6"/>
      <c r="AG7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7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7" t="str">
        <f>IF(TPersonnel[[#This Row],[INDEM LÉGALE]]=0,"",IF(TPersonnel[[#This Row],[INDEM LÉGALE]]&gt;TPersonnel[[#This Row],[INDEM CONV.]],"LEGAL","CONVENTIONNEL"))</f>
        <v/>
      </c>
      <c r="AJ7" s="288">
        <f>MAX(TPersonnel[[#This Row],[INDEM LÉGALE]],TPersonnel[[#This Row],[INDEM CONV.]])</f>
        <v>0</v>
      </c>
      <c r="AK7" s="288">
        <f>TPersonnel[[#This Row],[INDEM RETENUE]]*'⚙️ Parametres'!$B$5</f>
        <v>0</v>
      </c>
      <c r="AL7" s="288">
        <f>TPersonnel[[#This Row],[INDEM RETENUE]]+TPersonnel[[#This Row],[Majoration PSE]]</f>
        <v>0</v>
      </c>
      <c r="AM7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7" s="288">
        <f>IF(UPPER(TPersonnel[[#This Row],[Fonction à supprimer]])="NON",0,TPersonnel[[#This Row],[Préavis Calc (mois)]]*TPersonnel[[#This Row],[Salaire Brut de référence]])</f>
        <v>0</v>
      </c>
      <c r="AO7">
        <f>IF(TPersonnel[[#This Row],[Fonction à supprimer]]="NON",0,TPersonnel[[#This Row],[Nb CP Acquis]]+TPersonnel[[#This Row],[Préavis Calc (mois)]]*2.08)</f>
        <v>0</v>
      </c>
      <c r="AP7" s="288">
        <f>TPersonnel[[#This Row],[CP Calc (jrs)]]*TPersonnel[[#This Row],[Salaire Brut de référence]]/21.67</f>
        <v>0</v>
      </c>
      <c r="AQ7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7" s="288">
        <f>TPersonnel[[#This Row],[TOTAL INDEM]]+TPersonnel[[#This Row],[Indem Préavis Brut]]+TPersonnel[[#This Row],[Indem CP]]+TPersonnel[[#This Row],[COÛT Charges Patronales]]</f>
        <v>0</v>
      </c>
    </row>
    <row r="8" spans="1:44" x14ac:dyDescent="0.45">
      <c r="A8" s="186">
        <v>19</v>
      </c>
      <c r="B8" s="61" t="s">
        <v>45</v>
      </c>
      <c r="C8" s="6" t="s">
        <v>64</v>
      </c>
      <c r="D8" s="6" t="s">
        <v>65</v>
      </c>
      <c r="E8" s="6" t="s">
        <v>63</v>
      </c>
      <c r="F8" s="6" t="s">
        <v>57</v>
      </c>
      <c r="G8" s="6" t="s">
        <v>50</v>
      </c>
      <c r="H8" s="6" t="s">
        <v>51</v>
      </c>
      <c r="I8" s="190" t="s">
        <v>60</v>
      </c>
      <c r="J8" s="62" t="s">
        <v>53</v>
      </c>
      <c r="K8" s="7">
        <v>36026</v>
      </c>
      <c r="L8" s="7">
        <v>36026</v>
      </c>
      <c r="M8" s="7">
        <v>26580</v>
      </c>
      <c r="N8" s="9">
        <v>3238.84</v>
      </c>
      <c r="O8" s="9"/>
      <c r="P8" s="65">
        <v>24.58</v>
      </c>
      <c r="Q8" s="7" t="str">
        <f>IF(UPPER(B8)="OUI",'📈 Dashboard'!$B$37,"")</f>
        <v/>
      </c>
      <c r="R8" s="9">
        <f t="shared" si="0"/>
        <v>3238.84</v>
      </c>
      <c r="S8" s="9">
        <v>3815.2200000000003</v>
      </c>
      <c r="T8" s="8">
        <f t="shared" ca="1" si="1"/>
        <v>27.572895277207394</v>
      </c>
      <c r="U8" s="8">
        <f t="shared" ca="1" si="2"/>
        <v>53.434633812457221</v>
      </c>
      <c r="V8" s="10">
        <f t="shared" si="3"/>
        <v>38866.080000000002</v>
      </c>
      <c r="W8">
        <f t="shared" ca="1" si="4"/>
        <v>2</v>
      </c>
      <c r="X8" s="8">
        <f t="shared" ca="1" si="5"/>
        <v>27.572895277207394</v>
      </c>
      <c r="Y8" s="6"/>
      <c r="Z8" s="9"/>
      <c r="AA8" s="9"/>
      <c r="AB8" s="9"/>
      <c r="AC8" s="6"/>
      <c r="AG8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8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8" t="str">
        <f>IF(TPersonnel[[#This Row],[INDEM LÉGALE]]=0,"",IF(TPersonnel[[#This Row],[INDEM LÉGALE]]&gt;TPersonnel[[#This Row],[INDEM CONV.]],"LEGAL","CONVENTIONNEL"))</f>
        <v/>
      </c>
      <c r="AJ8" s="288">
        <f>MAX(TPersonnel[[#This Row],[INDEM LÉGALE]],TPersonnel[[#This Row],[INDEM CONV.]])</f>
        <v>0</v>
      </c>
      <c r="AK8" s="288">
        <f>TPersonnel[[#This Row],[INDEM RETENUE]]*'⚙️ Parametres'!$B$5</f>
        <v>0</v>
      </c>
      <c r="AL8" s="288">
        <f>TPersonnel[[#This Row],[INDEM RETENUE]]+TPersonnel[[#This Row],[Majoration PSE]]</f>
        <v>0</v>
      </c>
      <c r="AM8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8" s="288">
        <f>IF(UPPER(TPersonnel[[#This Row],[Fonction à supprimer]])="NON",0,TPersonnel[[#This Row],[Préavis Calc (mois)]]*TPersonnel[[#This Row],[Salaire Brut de référence]])</f>
        <v>0</v>
      </c>
      <c r="AO8">
        <f>IF(TPersonnel[[#This Row],[Fonction à supprimer]]="NON",0,TPersonnel[[#This Row],[Nb CP Acquis]]+TPersonnel[[#This Row],[Préavis Calc (mois)]]*2.08)</f>
        <v>0</v>
      </c>
      <c r="AP8" s="288">
        <f>TPersonnel[[#This Row],[CP Calc (jrs)]]*TPersonnel[[#This Row],[Salaire Brut de référence]]/21.67</f>
        <v>0</v>
      </c>
      <c r="AQ8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8" s="288">
        <f>TPersonnel[[#This Row],[TOTAL INDEM]]+TPersonnel[[#This Row],[Indem Préavis Brut]]+TPersonnel[[#This Row],[Indem CP]]+TPersonnel[[#This Row],[COÛT Charges Patronales]]</f>
        <v>0</v>
      </c>
    </row>
    <row r="9" spans="1:44" x14ac:dyDescent="0.45">
      <c r="A9" s="186">
        <v>28</v>
      </c>
      <c r="B9" s="61" t="s">
        <v>45</v>
      </c>
      <c r="C9" s="62" t="s">
        <v>66</v>
      </c>
      <c r="D9" s="62" t="s">
        <v>67</v>
      </c>
      <c r="E9" s="6" t="s">
        <v>56</v>
      </c>
      <c r="F9" s="6" t="s">
        <v>57</v>
      </c>
      <c r="G9" s="6" t="s">
        <v>50</v>
      </c>
      <c r="H9" s="6" t="s">
        <v>51</v>
      </c>
      <c r="I9" s="190" t="s">
        <v>60</v>
      </c>
      <c r="J9" s="62" t="s">
        <v>53</v>
      </c>
      <c r="K9" s="7">
        <v>39301</v>
      </c>
      <c r="L9" s="7">
        <v>39301</v>
      </c>
      <c r="M9" s="7">
        <v>29066</v>
      </c>
      <c r="N9" s="9">
        <v>3110.06</v>
      </c>
      <c r="O9" s="9"/>
      <c r="P9" s="65">
        <v>17.579999999999998</v>
      </c>
      <c r="Q9" s="7" t="str">
        <f>IF(UPPER(B9)="OUI",'📈 Dashboard'!$B$37,"")</f>
        <v/>
      </c>
      <c r="R9" s="9">
        <f t="shared" si="0"/>
        <v>3110.06</v>
      </c>
      <c r="S9" s="9">
        <v>2616.89</v>
      </c>
      <c r="T9" s="8">
        <f t="shared" ca="1" si="1"/>
        <v>18.606433949349761</v>
      </c>
      <c r="U9" s="8">
        <f t="shared" ca="1" si="2"/>
        <v>46.628336755646821</v>
      </c>
      <c r="V9" s="10">
        <f t="shared" si="3"/>
        <v>37320.720000000001</v>
      </c>
      <c r="W9">
        <f t="shared" ca="1" si="4"/>
        <v>2</v>
      </c>
      <c r="X9" s="8">
        <f t="shared" ca="1" si="5"/>
        <v>18.606433949349761</v>
      </c>
      <c r="Y9" s="6"/>
      <c r="Z9" s="9"/>
      <c r="AA9" s="9"/>
      <c r="AB9" s="9"/>
      <c r="AC9" s="6"/>
      <c r="AG9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9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9" t="str">
        <f>IF(TPersonnel[[#This Row],[INDEM LÉGALE]]=0,"",IF(TPersonnel[[#This Row],[INDEM LÉGALE]]&gt;TPersonnel[[#This Row],[INDEM CONV.]],"LEGAL","CONVENTIONNEL"))</f>
        <v/>
      </c>
      <c r="AJ9" s="288">
        <f>MAX(TPersonnel[[#This Row],[INDEM LÉGALE]],TPersonnel[[#This Row],[INDEM CONV.]])</f>
        <v>0</v>
      </c>
      <c r="AK9" s="288">
        <f>TPersonnel[[#This Row],[INDEM RETENUE]]*'⚙️ Parametres'!$B$5</f>
        <v>0</v>
      </c>
      <c r="AL9" s="288">
        <f>TPersonnel[[#This Row],[INDEM RETENUE]]+TPersonnel[[#This Row],[Majoration PSE]]</f>
        <v>0</v>
      </c>
      <c r="AM9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9" s="288">
        <f>IF(UPPER(TPersonnel[[#This Row],[Fonction à supprimer]])="NON",0,TPersonnel[[#This Row],[Préavis Calc (mois)]]*TPersonnel[[#This Row],[Salaire Brut de référence]])</f>
        <v>0</v>
      </c>
      <c r="AO9">
        <f>IF(TPersonnel[[#This Row],[Fonction à supprimer]]="NON",0,TPersonnel[[#This Row],[Nb CP Acquis]]+TPersonnel[[#This Row],[Préavis Calc (mois)]]*2.08)</f>
        <v>0</v>
      </c>
      <c r="AP9" s="288">
        <f>TPersonnel[[#This Row],[CP Calc (jrs)]]*TPersonnel[[#This Row],[Salaire Brut de référence]]/21.67</f>
        <v>0</v>
      </c>
      <c r="AQ9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9" s="288">
        <f>TPersonnel[[#This Row],[TOTAL INDEM]]+TPersonnel[[#This Row],[Indem Préavis Brut]]+TPersonnel[[#This Row],[Indem CP]]+TPersonnel[[#This Row],[COÛT Charges Patronales]]</f>
        <v>0</v>
      </c>
    </row>
    <row r="10" spans="1:44" x14ac:dyDescent="0.45">
      <c r="A10" s="186">
        <v>31</v>
      </c>
      <c r="B10" s="61" t="s">
        <v>45</v>
      </c>
      <c r="C10" s="6" t="s">
        <v>68</v>
      </c>
      <c r="D10" s="6" t="s">
        <v>69</v>
      </c>
      <c r="E10" s="6" t="s">
        <v>56</v>
      </c>
      <c r="F10" s="6" t="s">
        <v>70</v>
      </c>
      <c r="G10" s="6" t="s">
        <v>50</v>
      </c>
      <c r="H10" s="6" t="s">
        <v>71</v>
      </c>
      <c r="I10" s="191">
        <v>185</v>
      </c>
      <c r="J10" s="62" t="s">
        <v>53</v>
      </c>
      <c r="K10" s="7">
        <v>42107</v>
      </c>
      <c r="L10" s="7">
        <v>42107</v>
      </c>
      <c r="M10" s="7">
        <v>24222</v>
      </c>
      <c r="N10" s="9">
        <v>3250</v>
      </c>
      <c r="O10" s="9"/>
      <c r="P10" s="65">
        <v>51.58</v>
      </c>
      <c r="Q10" s="7" t="str">
        <f>IF(UPPER(B10)="OUI",'📈 Dashboard'!$B$37,"")</f>
        <v/>
      </c>
      <c r="R10" s="9">
        <f t="shared" si="0"/>
        <v>3250</v>
      </c>
      <c r="S10" s="9">
        <v>7735.79</v>
      </c>
      <c r="T10" s="8">
        <f t="shared" ca="1" si="1"/>
        <v>10.924024640657084</v>
      </c>
      <c r="U10" s="8">
        <f t="shared" ca="1" si="2"/>
        <v>59.890485968514717</v>
      </c>
      <c r="V10" s="10">
        <f t="shared" si="3"/>
        <v>39000</v>
      </c>
      <c r="W10">
        <f t="shared" si="4"/>
        <v>2</v>
      </c>
      <c r="X10" s="8">
        <f t="shared" ca="1" si="5"/>
        <v>10.924024640657084</v>
      </c>
      <c r="Y10" s="6"/>
      <c r="Z10" s="9"/>
      <c r="AA10" s="9"/>
      <c r="AB10" s="9"/>
      <c r="AC10" s="6"/>
      <c r="AG10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0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0" t="str">
        <f>IF(TPersonnel[[#This Row],[INDEM LÉGALE]]=0,"",IF(TPersonnel[[#This Row],[INDEM LÉGALE]]&gt;TPersonnel[[#This Row],[INDEM CONV.]],"LEGAL","CONVENTIONNEL"))</f>
        <v/>
      </c>
      <c r="AJ10" s="288">
        <f>MAX(TPersonnel[[#This Row],[INDEM LÉGALE]],TPersonnel[[#This Row],[INDEM CONV.]])</f>
        <v>0</v>
      </c>
      <c r="AK10" s="288">
        <f>TPersonnel[[#This Row],[INDEM RETENUE]]*'⚙️ Parametres'!$B$5</f>
        <v>0</v>
      </c>
      <c r="AL10" s="288">
        <f>TPersonnel[[#This Row],[INDEM RETENUE]]+TPersonnel[[#This Row],[Majoration PSE]]</f>
        <v>0</v>
      </c>
      <c r="AM10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0" s="288">
        <f>IF(UPPER(TPersonnel[[#This Row],[Fonction à supprimer]])="NON",0,TPersonnel[[#This Row],[Préavis Calc (mois)]]*TPersonnel[[#This Row],[Salaire Brut de référence]])</f>
        <v>0</v>
      </c>
      <c r="AO10">
        <f>IF(TPersonnel[[#This Row],[Fonction à supprimer]]="NON",0,TPersonnel[[#This Row],[Nb CP Acquis]]+TPersonnel[[#This Row],[Préavis Calc (mois)]]*2.08)</f>
        <v>0</v>
      </c>
      <c r="AP10" s="288">
        <f>TPersonnel[[#This Row],[CP Calc (jrs)]]*TPersonnel[[#This Row],[Salaire Brut de référence]]/21.67</f>
        <v>0</v>
      </c>
      <c r="AQ10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0" s="288">
        <f>TPersonnel[[#This Row],[TOTAL INDEM]]+TPersonnel[[#This Row],[Indem Préavis Brut]]+TPersonnel[[#This Row],[Indem CP]]+TPersonnel[[#This Row],[COÛT Charges Patronales]]</f>
        <v>0</v>
      </c>
    </row>
    <row r="11" spans="1:44" x14ac:dyDescent="0.45">
      <c r="A11" s="186">
        <v>33</v>
      </c>
      <c r="B11" s="61" t="s">
        <v>45</v>
      </c>
      <c r="C11" s="6" t="s">
        <v>72</v>
      </c>
      <c r="D11" s="6" t="s">
        <v>73</v>
      </c>
      <c r="E11" s="6" t="s">
        <v>56</v>
      </c>
      <c r="F11" s="6" t="s">
        <v>57</v>
      </c>
      <c r="G11" s="6" t="s">
        <v>50</v>
      </c>
      <c r="H11" s="6" t="s">
        <v>51</v>
      </c>
      <c r="I11" s="190" t="s">
        <v>60</v>
      </c>
      <c r="J11" s="62" t="s">
        <v>53</v>
      </c>
      <c r="K11" s="7">
        <v>39182</v>
      </c>
      <c r="L11" s="7">
        <v>39182</v>
      </c>
      <c r="M11" s="7">
        <v>24037</v>
      </c>
      <c r="N11" s="9">
        <v>2827.92</v>
      </c>
      <c r="O11" s="9"/>
      <c r="P11" s="65">
        <v>13.58</v>
      </c>
      <c r="Q11" s="7" t="str">
        <f>IF(UPPER(B11)="OUI",'📈 Dashboard'!$B$37,"")</f>
        <v/>
      </c>
      <c r="R11" s="9">
        <f t="shared" si="0"/>
        <v>2827.92</v>
      </c>
      <c r="S11" s="9">
        <v>1852.93</v>
      </c>
      <c r="T11" s="8">
        <f t="shared" ca="1" si="1"/>
        <v>18.932238193018481</v>
      </c>
      <c r="U11" s="8">
        <f t="shared" ca="1" si="2"/>
        <v>60.396988364134153</v>
      </c>
      <c r="V11" s="10">
        <f t="shared" si="3"/>
        <v>33935.040000000001</v>
      </c>
      <c r="W11">
        <f t="shared" ca="1" si="4"/>
        <v>2</v>
      </c>
      <c r="X11" s="8">
        <f t="shared" ca="1" si="5"/>
        <v>18.932238193018481</v>
      </c>
      <c r="Y11" s="6"/>
      <c r="Z11" s="9"/>
      <c r="AA11" s="9"/>
      <c r="AB11" s="9"/>
      <c r="AC11" s="6"/>
      <c r="AG11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1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1" t="str">
        <f>IF(TPersonnel[[#This Row],[INDEM LÉGALE]]=0,"",IF(TPersonnel[[#This Row],[INDEM LÉGALE]]&gt;TPersonnel[[#This Row],[INDEM CONV.]],"LEGAL","CONVENTIONNEL"))</f>
        <v/>
      </c>
      <c r="AJ11" s="288">
        <f>MAX(TPersonnel[[#This Row],[INDEM LÉGALE]],TPersonnel[[#This Row],[INDEM CONV.]])</f>
        <v>0</v>
      </c>
      <c r="AK11" s="288">
        <f>TPersonnel[[#This Row],[INDEM RETENUE]]*'⚙️ Parametres'!$B$5</f>
        <v>0</v>
      </c>
      <c r="AL11" s="288">
        <f>TPersonnel[[#This Row],[INDEM RETENUE]]+TPersonnel[[#This Row],[Majoration PSE]]</f>
        <v>0</v>
      </c>
      <c r="AM11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1" s="288">
        <f>IF(UPPER(TPersonnel[[#This Row],[Fonction à supprimer]])="NON",0,TPersonnel[[#This Row],[Préavis Calc (mois)]]*TPersonnel[[#This Row],[Salaire Brut de référence]])</f>
        <v>0</v>
      </c>
      <c r="AO11">
        <f>IF(TPersonnel[[#This Row],[Fonction à supprimer]]="NON",0,TPersonnel[[#This Row],[Nb CP Acquis]]+TPersonnel[[#This Row],[Préavis Calc (mois)]]*2.08)</f>
        <v>0</v>
      </c>
      <c r="AP11" s="288">
        <f>TPersonnel[[#This Row],[CP Calc (jrs)]]*TPersonnel[[#This Row],[Salaire Brut de référence]]/21.67</f>
        <v>0</v>
      </c>
      <c r="AQ11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1" s="288">
        <f>TPersonnel[[#This Row],[TOTAL INDEM]]+TPersonnel[[#This Row],[Indem Préavis Brut]]+TPersonnel[[#This Row],[Indem CP]]+TPersonnel[[#This Row],[COÛT Charges Patronales]]</f>
        <v>0</v>
      </c>
    </row>
    <row r="12" spans="1:44" x14ac:dyDescent="0.45">
      <c r="A12" s="186">
        <v>35</v>
      </c>
      <c r="B12" s="61" t="s">
        <v>45</v>
      </c>
      <c r="C12" s="6" t="s">
        <v>74</v>
      </c>
      <c r="D12" s="6" t="s">
        <v>75</v>
      </c>
      <c r="E12" s="6" t="s">
        <v>56</v>
      </c>
      <c r="F12" s="6" t="s">
        <v>76</v>
      </c>
      <c r="G12" s="6" t="s">
        <v>50</v>
      </c>
      <c r="H12" s="6" t="s">
        <v>51</v>
      </c>
      <c r="I12" s="190" t="s">
        <v>52</v>
      </c>
      <c r="J12" s="62" t="s">
        <v>53</v>
      </c>
      <c r="K12" s="7">
        <v>41673</v>
      </c>
      <c r="L12" s="7">
        <v>41673</v>
      </c>
      <c r="M12" s="7">
        <v>31288</v>
      </c>
      <c r="N12" s="9">
        <v>2842.93</v>
      </c>
      <c r="O12" s="9"/>
      <c r="P12" s="65">
        <v>18.53</v>
      </c>
      <c r="Q12" s="7" t="str">
        <f>IF(UPPER(B12)="OUI",'📈 Dashboard'!$B$37,"")</f>
        <v/>
      </c>
      <c r="R12" s="9">
        <f t="shared" si="0"/>
        <v>2842.93</v>
      </c>
      <c r="S12" s="9">
        <v>2773.39</v>
      </c>
      <c r="T12" s="8">
        <f t="shared" ca="1" si="1"/>
        <v>12.112251882272416</v>
      </c>
      <c r="U12" s="8">
        <f t="shared" ca="1" si="2"/>
        <v>40.544832306639286</v>
      </c>
      <c r="V12" s="10">
        <f t="shared" si="3"/>
        <v>34115.159999999996</v>
      </c>
      <c r="W12">
        <f t="shared" ca="1" si="4"/>
        <v>2</v>
      </c>
      <c r="X12" s="8">
        <f t="shared" ca="1" si="5"/>
        <v>12.112251882272416</v>
      </c>
      <c r="Y12" s="6"/>
      <c r="Z12" s="9"/>
      <c r="AA12" s="9"/>
      <c r="AB12" s="9"/>
      <c r="AC12" s="6"/>
      <c r="AG12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2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2" t="str">
        <f>IF(TPersonnel[[#This Row],[INDEM LÉGALE]]=0,"",IF(TPersonnel[[#This Row],[INDEM LÉGALE]]&gt;TPersonnel[[#This Row],[INDEM CONV.]],"LEGAL","CONVENTIONNEL"))</f>
        <v/>
      </c>
      <c r="AJ12" s="288">
        <f>MAX(TPersonnel[[#This Row],[INDEM LÉGALE]],TPersonnel[[#This Row],[INDEM CONV.]])</f>
        <v>0</v>
      </c>
      <c r="AK12" s="288">
        <f>TPersonnel[[#This Row],[INDEM RETENUE]]*'⚙️ Parametres'!$B$5</f>
        <v>0</v>
      </c>
      <c r="AL12" s="288">
        <f>TPersonnel[[#This Row],[INDEM RETENUE]]+TPersonnel[[#This Row],[Majoration PSE]]</f>
        <v>0</v>
      </c>
      <c r="AM12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2" s="288">
        <f>IF(UPPER(TPersonnel[[#This Row],[Fonction à supprimer]])="NON",0,TPersonnel[[#This Row],[Préavis Calc (mois)]]*TPersonnel[[#This Row],[Salaire Brut de référence]])</f>
        <v>0</v>
      </c>
      <c r="AO12">
        <f>IF(TPersonnel[[#This Row],[Fonction à supprimer]]="NON",0,TPersonnel[[#This Row],[Nb CP Acquis]]+TPersonnel[[#This Row],[Préavis Calc (mois)]]*2.08)</f>
        <v>0</v>
      </c>
      <c r="AP12" s="288">
        <f>TPersonnel[[#This Row],[CP Calc (jrs)]]*TPersonnel[[#This Row],[Salaire Brut de référence]]/21.67</f>
        <v>0</v>
      </c>
      <c r="AQ12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2" s="288">
        <f>TPersonnel[[#This Row],[TOTAL INDEM]]+TPersonnel[[#This Row],[Indem Préavis Brut]]+TPersonnel[[#This Row],[Indem CP]]+TPersonnel[[#This Row],[COÛT Charges Patronales]]</f>
        <v>0</v>
      </c>
    </row>
    <row r="13" spans="1:44" x14ac:dyDescent="0.45">
      <c r="A13" s="186">
        <v>40</v>
      </c>
      <c r="B13" s="61" t="s">
        <v>45</v>
      </c>
      <c r="C13" s="6" t="s">
        <v>77</v>
      </c>
      <c r="D13" s="6" t="s">
        <v>78</v>
      </c>
      <c r="E13" s="6" t="s">
        <v>56</v>
      </c>
      <c r="F13" s="6" t="s">
        <v>57</v>
      </c>
      <c r="G13" s="6" t="s">
        <v>50</v>
      </c>
      <c r="H13" s="6" t="s">
        <v>51</v>
      </c>
      <c r="I13" s="190" t="s">
        <v>60</v>
      </c>
      <c r="J13" s="62" t="s">
        <v>53</v>
      </c>
      <c r="K13" s="7">
        <v>41334</v>
      </c>
      <c r="L13" s="7">
        <v>33512</v>
      </c>
      <c r="M13" s="7">
        <v>24052</v>
      </c>
      <c r="N13" s="9">
        <v>2974.39</v>
      </c>
      <c r="O13" s="9"/>
      <c r="P13" s="65">
        <v>25.58</v>
      </c>
      <c r="Q13" s="7" t="str">
        <f>IF(UPPER(B13)="OUI",'📈 Dashboard'!$B$37,"")</f>
        <v/>
      </c>
      <c r="R13" s="9">
        <f t="shared" si="0"/>
        <v>2974.39</v>
      </c>
      <c r="S13" s="9">
        <v>3650.4100000000003</v>
      </c>
      <c r="T13" s="8">
        <f t="shared" ca="1" si="1"/>
        <v>34.455852156057496</v>
      </c>
      <c r="U13" s="8">
        <f t="shared" ca="1" si="2"/>
        <v>60.355920602327174</v>
      </c>
      <c r="V13" s="10">
        <f t="shared" si="3"/>
        <v>35692.68</v>
      </c>
      <c r="W13">
        <f t="shared" ca="1" si="4"/>
        <v>2</v>
      </c>
      <c r="X13" s="8">
        <f t="shared" ca="1" si="5"/>
        <v>34.455852156057496</v>
      </c>
      <c r="Y13" s="6"/>
      <c r="Z13" s="9"/>
      <c r="AA13" s="9"/>
      <c r="AB13" s="9"/>
      <c r="AC13" s="6"/>
      <c r="AG13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3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3" t="str">
        <f>IF(TPersonnel[[#This Row],[INDEM LÉGALE]]=0,"",IF(TPersonnel[[#This Row],[INDEM LÉGALE]]&gt;TPersonnel[[#This Row],[INDEM CONV.]],"LEGAL","CONVENTIONNEL"))</f>
        <v/>
      </c>
      <c r="AJ13" s="288">
        <f>MAX(TPersonnel[[#This Row],[INDEM LÉGALE]],TPersonnel[[#This Row],[INDEM CONV.]])</f>
        <v>0</v>
      </c>
      <c r="AK13" s="288">
        <f>TPersonnel[[#This Row],[INDEM RETENUE]]*'⚙️ Parametres'!$B$5</f>
        <v>0</v>
      </c>
      <c r="AL13" s="288">
        <f>TPersonnel[[#This Row],[INDEM RETENUE]]+TPersonnel[[#This Row],[Majoration PSE]]</f>
        <v>0</v>
      </c>
      <c r="AM13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3" s="288">
        <f>IF(UPPER(TPersonnel[[#This Row],[Fonction à supprimer]])="NON",0,TPersonnel[[#This Row],[Préavis Calc (mois)]]*TPersonnel[[#This Row],[Salaire Brut de référence]])</f>
        <v>0</v>
      </c>
      <c r="AO13">
        <f>IF(TPersonnel[[#This Row],[Fonction à supprimer]]="NON",0,TPersonnel[[#This Row],[Nb CP Acquis]]+TPersonnel[[#This Row],[Préavis Calc (mois)]]*2.08)</f>
        <v>0</v>
      </c>
      <c r="AP13" s="288">
        <f>TPersonnel[[#This Row],[CP Calc (jrs)]]*TPersonnel[[#This Row],[Salaire Brut de référence]]/21.67</f>
        <v>0</v>
      </c>
      <c r="AQ13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3" s="288">
        <f>TPersonnel[[#This Row],[TOTAL INDEM]]+TPersonnel[[#This Row],[Indem Préavis Brut]]+TPersonnel[[#This Row],[Indem CP]]+TPersonnel[[#This Row],[COÛT Charges Patronales]]</f>
        <v>0</v>
      </c>
    </row>
    <row r="14" spans="1:44" x14ac:dyDescent="0.45">
      <c r="A14" s="186">
        <v>68</v>
      </c>
      <c r="B14" s="61" t="s">
        <v>45</v>
      </c>
      <c r="C14" s="6" t="s">
        <v>79</v>
      </c>
      <c r="D14" s="6" t="s">
        <v>80</v>
      </c>
      <c r="E14" s="6" t="s">
        <v>48</v>
      </c>
      <c r="F14" s="6" t="s">
        <v>76</v>
      </c>
      <c r="G14" s="6" t="s">
        <v>50</v>
      </c>
      <c r="H14" s="6" t="s">
        <v>51</v>
      </c>
      <c r="I14" s="190" t="s">
        <v>60</v>
      </c>
      <c r="J14" s="62" t="s">
        <v>53</v>
      </c>
      <c r="K14" s="7">
        <v>43556</v>
      </c>
      <c r="L14" s="7">
        <v>43556</v>
      </c>
      <c r="M14" s="7">
        <v>29105</v>
      </c>
      <c r="N14" s="9">
        <v>2239.63</v>
      </c>
      <c r="O14" s="9"/>
      <c r="P14" s="65">
        <v>32.22</v>
      </c>
      <c r="Q14" s="7" t="str">
        <f>IF(UPPER(B14)="OUI",'📈 Dashboard'!$B$37,"")</f>
        <v/>
      </c>
      <c r="R14" s="9">
        <f t="shared" si="0"/>
        <v>2239.63</v>
      </c>
      <c r="S14" s="9">
        <v>4116.0599999999995</v>
      </c>
      <c r="T14" s="8">
        <f t="shared" ca="1" si="1"/>
        <v>6.9568788501026697</v>
      </c>
      <c r="U14" s="8">
        <f t="shared" ca="1" si="2"/>
        <v>46.521560574948666</v>
      </c>
      <c r="V14" s="10">
        <f t="shared" si="3"/>
        <v>26875.56</v>
      </c>
      <c r="W14">
        <f t="shared" ca="1" si="4"/>
        <v>2</v>
      </c>
      <c r="X14" s="8">
        <f t="shared" ca="1" si="5"/>
        <v>6.9568788501026697</v>
      </c>
      <c r="Y14" s="6"/>
      <c r="Z14" s="9"/>
      <c r="AA14" s="9"/>
      <c r="AB14" s="9"/>
      <c r="AC14" s="6"/>
      <c r="AG14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4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4" t="str">
        <f>IF(TPersonnel[[#This Row],[INDEM LÉGALE]]=0,"",IF(TPersonnel[[#This Row],[INDEM LÉGALE]]&gt;TPersonnel[[#This Row],[INDEM CONV.]],"LEGAL","CONVENTIONNEL"))</f>
        <v/>
      </c>
      <c r="AJ14" s="288">
        <f>MAX(TPersonnel[[#This Row],[INDEM LÉGALE]],TPersonnel[[#This Row],[INDEM CONV.]])</f>
        <v>0</v>
      </c>
      <c r="AK14" s="288">
        <f>TPersonnel[[#This Row],[INDEM RETENUE]]*'⚙️ Parametres'!$B$5</f>
        <v>0</v>
      </c>
      <c r="AL14" s="288">
        <f>TPersonnel[[#This Row],[INDEM RETENUE]]+TPersonnel[[#This Row],[Majoration PSE]]</f>
        <v>0</v>
      </c>
      <c r="AM14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4" s="288">
        <f>IF(UPPER(TPersonnel[[#This Row],[Fonction à supprimer]])="NON",0,TPersonnel[[#This Row],[Préavis Calc (mois)]]*TPersonnel[[#This Row],[Salaire Brut de référence]])</f>
        <v>0</v>
      </c>
      <c r="AO14">
        <f>IF(TPersonnel[[#This Row],[Fonction à supprimer]]="NON",0,TPersonnel[[#This Row],[Nb CP Acquis]]+TPersonnel[[#This Row],[Préavis Calc (mois)]]*2.08)</f>
        <v>0</v>
      </c>
      <c r="AP14" s="288">
        <f>TPersonnel[[#This Row],[CP Calc (jrs)]]*TPersonnel[[#This Row],[Salaire Brut de référence]]/21.67</f>
        <v>0</v>
      </c>
      <c r="AQ14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4" s="288">
        <f>TPersonnel[[#This Row],[TOTAL INDEM]]+TPersonnel[[#This Row],[Indem Préavis Brut]]+TPersonnel[[#This Row],[Indem CP]]+TPersonnel[[#This Row],[COÛT Charges Patronales]]</f>
        <v>0</v>
      </c>
    </row>
    <row r="15" spans="1:44" x14ac:dyDescent="0.45">
      <c r="A15" s="186">
        <v>69</v>
      </c>
      <c r="B15" s="61" t="s">
        <v>45</v>
      </c>
      <c r="C15" s="6" t="s">
        <v>81</v>
      </c>
      <c r="D15" s="6" t="s">
        <v>82</v>
      </c>
      <c r="E15" s="6" t="s">
        <v>56</v>
      </c>
      <c r="F15" s="6" t="s">
        <v>76</v>
      </c>
      <c r="G15" s="6" t="s">
        <v>50</v>
      </c>
      <c r="H15" s="6" t="s">
        <v>51</v>
      </c>
      <c r="I15" s="190" t="s">
        <v>52</v>
      </c>
      <c r="J15" s="62" t="s">
        <v>53</v>
      </c>
      <c r="K15" s="7">
        <v>43591</v>
      </c>
      <c r="L15" s="7">
        <v>43591</v>
      </c>
      <c r="M15" s="7">
        <v>31417</v>
      </c>
      <c r="N15" s="9">
        <v>2720.81</v>
      </c>
      <c r="O15" s="9"/>
      <c r="P15" s="65">
        <v>48.45</v>
      </c>
      <c r="Q15" s="7" t="str">
        <f>IF(UPPER(B15)="OUI",'📈 Dashboard'!$B$37,"")</f>
        <v/>
      </c>
      <c r="R15" s="9">
        <f t="shared" si="0"/>
        <v>2720.81</v>
      </c>
      <c r="S15" s="9">
        <v>6156.32</v>
      </c>
      <c r="T15" s="8">
        <f t="shared" ca="1" si="1"/>
        <v>6.8610540725530456</v>
      </c>
      <c r="U15" s="8">
        <f t="shared" ca="1" si="2"/>
        <v>40.191649555099247</v>
      </c>
      <c r="V15" s="10">
        <f t="shared" si="3"/>
        <v>32649.72</v>
      </c>
      <c r="W15">
        <f t="shared" ca="1" si="4"/>
        <v>2</v>
      </c>
      <c r="X15" s="8">
        <f t="shared" ca="1" si="5"/>
        <v>6.8610540725530456</v>
      </c>
      <c r="Y15" s="6"/>
      <c r="Z15" s="9"/>
      <c r="AA15" s="9"/>
      <c r="AB15" s="9"/>
      <c r="AC15" s="6"/>
      <c r="AG15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5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5" t="str">
        <f>IF(TPersonnel[[#This Row],[INDEM LÉGALE]]=0,"",IF(TPersonnel[[#This Row],[INDEM LÉGALE]]&gt;TPersonnel[[#This Row],[INDEM CONV.]],"LEGAL","CONVENTIONNEL"))</f>
        <v/>
      </c>
      <c r="AJ15" s="288">
        <f>MAX(TPersonnel[[#This Row],[INDEM LÉGALE]],TPersonnel[[#This Row],[INDEM CONV.]])</f>
        <v>0</v>
      </c>
      <c r="AK15" s="288">
        <f>TPersonnel[[#This Row],[INDEM RETENUE]]*'⚙️ Parametres'!$B$5</f>
        <v>0</v>
      </c>
      <c r="AL15" s="288">
        <f>TPersonnel[[#This Row],[INDEM RETENUE]]+TPersonnel[[#This Row],[Majoration PSE]]</f>
        <v>0</v>
      </c>
      <c r="AM15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5" s="288">
        <f>IF(UPPER(TPersonnel[[#This Row],[Fonction à supprimer]])="NON",0,TPersonnel[[#This Row],[Préavis Calc (mois)]]*TPersonnel[[#This Row],[Salaire Brut de référence]])</f>
        <v>0</v>
      </c>
      <c r="AO15">
        <f>IF(TPersonnel[[#This Row],[Fonction à supprimer]]="NON",0,TPersonnel[[#This Row],[Nb CP Acquis]]+TPersonnel[[#This Row],[Préavis Calc (mois)]]*2.08)</f>
        <v>0</v>
      </c>
      <c r="AP15" s="288">
        <f>TPersonnel[[#This Row],[CP Calc (jrs)]]*TPersonnel[[#This Row],[Salaire Brut de référence]]/21.67</f>
        <v>0</v>
      </c>
      <c r="AQ15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5" s="288">
        <f>TPersonnel[[#This Row],[TOTAL INDEM]]+TPersonnel[[#This Row],[Indem Préavis Brut]]+TPersonnel[[#This Row],[Indem CP]]+TPersonnel[[#This Row],[COÛT Charges Patronales]]</f>
        <v>0</v>
      </c>
    </row>
    <row r="16" spans="1:44" x14ac:dyDescent="0.45">
      <c r="A16" s="186">
        <v>70</v>
      </c>
      <c r="B16" s="61" t="s">
        <v>45</v>
      </c>
      <c r="C16" s="6" t="s">
        <v>83</v>
      </c>
      <c r="D16" s="6" t="s">
        <v>84</v>
      </c>
      <c r="E16" s="6" t="s">
        <v>56</v>
      </c>
      <c r="F16" s="6" t="s">
        <v>85</v>
      </c>
      <c r="G16" s="6" t="s">
        <v>50</v>
      </c>
      <c r="H16" s="6" t="s">
        <v>51</v>
      </c>
      <c r="I16" s="190" t="s">
        <v>60</v>
      </c>
      <c r="J16" s="62" t="s">
        <v>53</v>
      </c>
      <c r="K16" s="7">
        <v>43710</v>
      </c>
      <c r="L16" s="7">
        <v>43710</v>
      </c>
      <c r="M16" s="7">
        <v>26138</v>
      </c>
      <c r="N16" s="9">
        <v>2668.64</v>
      </c>
      <c r="O16" s="9"/>
      <c r="P16" s="65">
        <v>15.58</v>
      </c>
      <c r="Q16" s="7" t="str">
        <f>IF(UPPER(B16)="OUI",'📈 Dashboard'!$B$37,"")</f>
        <v/>
      </c>
      <c r="R16" s="9">
        <f t="shared" si="0"/>
        <v>2668.64</v>
      </c>
      <c r="S16" s="9">
        <v>2094.42</v>
      </c>
      <c r="T16" s="8">
        <f t="shared" ca="1" si="1"/>
        <v>6.5352498288843259</v>
      </c>
      <c r="U16" s="8">
        <f t="shared" ca="1" si="2"/>
        <v>54.644763860369608</v>
      </c>
      <c r="V16" s="10">
        <f t="shared" si="3"/>
        <v>32023.68</v>
      </c>
      <c r="W16">
        <f t="shared" ca="1" si="4"/>
        <v>2</v>
      </c>
      <c r="X16" s="8">
        <f t="shared" ca="1" si="5"/>
        <v>6.5352498288843259</v>
      </c>
      <c r="Y16" s="6"/>
      <c r="Z16" s="9"/>
      <c r="AA16" s="9"/>
      <c r="AB16" s="9"/>
      <c r="AC16" s="6"/>
      <c r="AG16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6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6" t="str">
        <f>IF(TPersonnel[[#This Row],[INDEM LÉGALE]]=0,"",IF(TPersonnel[[#This Row],[INDEM LÉGALE]]&gt;TPersonnel[[#This Row],[INDEM CONV.]],"LEGAL","CONVENTIONNEL"))</f>
        <v/>
      </c>
      <c r="AJ16" s="288">
        <f>MAX(TPersonnel[[#This Row],[INDEM LÉGALE]],TPersonnel[[#This Row],[INDEM CONV.]])</f>
        <v>0</v>
      </c>
      <c r="AK16" s="288">
        <f>TPersonnel[[#This Row],[INDEM RETENUE]]*'⚙️ Parametres'!$B$5</f>
        <v>0</v>
      </c>
      <c r="AL16" s="288">
        <f>TPersonnel[[#This Row],[INDEM RETENUE]]+TPersonnel[[#This Row],[Majoration PSE]]</f>
        <v>0</v>
      </c>
      <c r="AM16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6" s="288">
        <f>IF(UPPER(TPersonnel[[#This Row],[Fonction à supprimer]])="NON",0,TPersonnel[[#This Row],[Préavis Calc (mois)]]*TPersonnel[[#This Row],[Salaire Brut de référence]])</f>
        <v>0</v>
      </c>
      <c r="AO16">
        <f>IF(TPersonnel[[#This Row],[Fonction à supprimer]]="NON",0,TPersonnel[[#This Row],[Nb CP Acquis]]+TPersonnel[[#This Row],[Préavis Calc (mois)]]*2.08)</f>
        <v>0</v>
      </c>
      <c r="AP16" s="288">
        <f>TPersonnel[[#This Row],[CP Calc (jrs)]]*TPersonnel[[#This Row],[Salaire Brut de référence]]/21.67</f>
        <v>0</v>
      </c>
      <c r="AQ16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6" s="288">
        <f>TPersonnel[[#This Row],[TOTAL INDEM]]+TPersonnel[[#This Row],[Indem Préavis Brut]]+TPersonnel[[#This Row],[Indem CP]]+TPersonnel[[#This Row],[COÛT Charges Patronales]]</f>
        <v>0</v>
      </c>
    </row>
    <row r="17" spans="1:44" x14ac:dyDescent="0.45">
      <c r="A17" s="186">
        <v>77</v>
      </c>
      <c r="B17" s="61" t="s">
        <v>45</v>
      </c>
      <c r="C17" s="6" t="s">
        <v>86</v>
      </c>
      <c r="D17" s="6" t="s">
        <v>87</v>
      </c>
      <c r="E17" s="6" t="s">
        <v>56</v>
      </c>
      <c r="F17" s="6" t="s">
        <v>57</v>
      </c>
      <c r="G17" s="6" t="s">
        <v>50</v>
      </c>
      <c r="H17" s="6" t="s">
        <v>51</v>
      </c>
      <c r="I17" s="190" t="s">
        <v>60</v>
      </c>
      <c r="J17" s="62" t="s">
        <v>88</v>
      </c>
      <c r="K17" s="7">
        <v>38586</v>
      </c>
      <c r="L17" s="7">
        <v>38586</v>
      </c>
      <c r="M17" s="7">
        <v>23227</v>
      </c>
      <c r="N17" s="9">
        <v>2325.7800000000002</v>
      </c>
      <c r="O17" s="9"/>
      <c r="P17" s="65">
        <v>28.58</v>
      </c>
      <c r="Q17" s="7" t="str">
        <f>IF(UPPER(B17)="OUI",'📈 Dashboard'!$B$37,"")</f>
        <v/>
      </c>
      <c r="R17" s="9">
        <f t="shared" si="0"/>
        <v>2325.7800000000002</v>
      </c>
      <c r="S17" s="9">
        <v>3400.2</v>
      </c>
      <c r="T17" s="8">
        <f t="shared" ca="1" si="1"/>
        <v>20.563997262149211</v>
      </c>
      <c r="U17" s="8">
        <f t="shared" ca="1" si="2"/>
        <v>62.614647501711154</v>
      </c>
      <c r="V17" s="10">
        <f t="shared" si="3"/>
        <v>27909.360000000001</v>
      </c>
      <c r="W17">
        <f t="shared" ca="1" si="4"/>
        <v>2</v>
      </c>
      <c r="X17" s="8">
        <f t="shared" ca="1" si="5"/>
        <v>20.563997262149211</v>
      </c>
      <c r="Y17" s="6"/>
      <c r="Z17" s="9"/>
      <c r="AA17" s="9"/>
      <c r="AB17" s="9"/>
      <c r="AC17" s="6"/>
      <c r="AG17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7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7" t="str">
        <f>IF(TPersonnel[[#This Row],[INDEM LÉGALE]]=0,"",IF(TPersonnel[[#This Row],[INDEM LÉGALE]]&gt;TPersonnel[[#This Row],[INDEM CONV.]],"LEGAL","CONVENTIONNEL"))</f>
        <v/>
      </c>
      <c r="AJ17" s="288">
        <f>MAX(TPersonnel[[#This Row],[INDEM LÉGALE]],TPersonnel[[#This Row],[INDEM CONV.]])</f>
        <v>0</v>
      </c>
      <c r="AK17" s="288">
        <f>TPersonnel[[#This Row],[INDEM RETENUE]]*'⚙️ Parametres'!$B$5</f>
        <v>0</v>
      </c>
      <c r="AL17" s="288">
        <f>TPersonnel[[#This Row],[INDEM RETENUE]]+TPersonnel[[#This Row],[Majoration PSE]]</f>
        <v>0</v>
      </c>
      <c r="AM17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7" s="288">
        <f>IF(UPPER(TPersonnel[[#This Row],[Fonction à supprimer]])="NON",0,TPersonnel[[#This Row],[Préavis Calc (mois)]]*TPersonnel[[#This Row],[Salaire Brut de référence]])</f>
        <v>0</v>
      </c>
      <c r="AO17">
        <f>IF(TPersonnel[[#This Row],[Fonction à supprimer]]="NON",0,TPersonnel[[#This Row],[Nb CP Acquis]]+TPersonnel[[#This Row],[Préavis Calc (mois)]]*2.08)</f>
        <v>0</v>
      </c>
      <c r="AP17" s="288">
        <f>TPersonnel[[#This Row],[CP Calc (jrs)]]*TPersonnel[[#This Row],[Salaire Brut de référence]]/21.67</f>
        <v>0</v>
      </c>
      <c r="AQ17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7" s="288">
        <f>TPersonnel[[#This Row],[TOTAL INDEM]]+TPersonnel[[#This Row],[Indem Préavis Brut]]+TPersonnel[[#This Row],[Indem CP]]+TPersonnel[[#This Row],[COÛT Charges Patronales]]</f>
        <v>0</v>
      </c>
    </row>
    <row r="18" spans="1:44" x14ac:dyDescent="0.45">
      <c r="A18" s="186">
        <v>80</v>
      </c>
      <c r="B18" s="61" t="s">
        <v>45</v>
      </c>
      <c r="C18" s="6" t="s">
        <v>89</v>
      </c>
      <c r="D18" s="6" t="s">
        <v>90</v>
      </c>
      <c r="E18" s="6" t="s">
        <v>48</v>
      </c>
      <c r="F18" s="6" t="s">
        <v>91</v>
      </c>
      <c r="G18" s="6" t="s">
        <v>50</v>
      </c>
      <c r="H18" s="6" t="s">
        <v>71</v>
      </c>
      <c r="I18" s="191">
        <v>150</v>
      </c>
      <c r="J18" s="62" t="s">
        <v>88</v>
      </c>
      <c r="K18" s="7">
        <v>45165</v>
      </c>
      <c r="L18" s="7">
        <v>44435</v>
      </c>
      <c r="M18" s="7">
        <v>37594</v>
      </c>
      <c r="N18" s="9">
        <v>3200</v>
      </c>
      <c r="O18" s="9"/>
      <c r="P18" s="65">
        <v>35.58</v>
      </c>
      <c r="Q18" s="7" t="str">
        <f>IF(UPPER(B18)="OUI",'📈 Dashboard'!$B$37,"")</f>
        <v/>
      </c>
      <c r="R18" s="9">
        <f t="shared" si="0"/>
        <v>3200</v>
      </c>
      <c r="S18" s="9">
        <v>5281.0599999999995</v>
      </c>
      <c r="T18" s="8">
        <f t="shared" ca="1" si="1"/>
        <v>4.5503080082135527</v>
      </c>
      <c r="U18" s="8">
        <f t="shared" ca="1" si="2"/>
        <v>23.279945242984258</v>
      </c>
      <c r="V18" s="10">
        <f t="shared" si="3"/>
        <v>38400</v>
      </c>
      <c r="W18">
        <f t="shared" si="4"/>
        <v>2</v>
      </c>
      <c r="X18" s="8">
        <f t="shared" ca="1" si="5"/>
        <v>4.5503080082135527</v>
      </c>
      <c r="Y18" s="6"/>
      <c r="Z18" s="9"/>
      <c r="AA18" s="9"/>
      <c r="AB18" s="9"/>
      <c r="AC18" s="6"/>
      <c r="AG18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8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8" t="str">
        <f>IF(TPersonnel[[#This Row],[INDEM LÉGALE]]=0,"",IF(TPersonnel[[#This Row],[INDEM LÉGALE]]&gt;TPersonnel[[#This Row],[INDEM CONV.]],"LEGAL","CONVENTIONNEL"))</f>
        <v/>
      </c>
      <c r="AJ18" s="288">
        <f>MAX(TPersonnel[[#This Row],[INDEM LÉGALE]],TPersonnel[[#This Row],[INDEM CONV.]])</f>
        <v>0</v>
      </c>
      <c r="AK18" s="288">
        <f>TPersonnel[[#This Row],[INDEM RETENUE]]*'⚙️ Parametres'!$B$5</f>
        <v>0</v>
      </c>
      <c r="AL18" s="288">
        <f>TPersonnel[[#This Row],[INDEM RETENUE]]+TPersonnel[[#This Row],[Majoration PSE]]</f>
        <v>0</v>
      </c>
      <c r="AM18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8" s="288">
        <f>IF(UPPER(TPersonnel[[#This Row],[Fonction à supprimer]])="NON",0,TPersonnel[[#This Row],[Préavis Calc (mois)]]*TPersonnel[[#This Row],[Salaire Brut de référence]])</f>
        <v>0</v>
      </c>
      <c r="AO18">
        <f>IF(TPersonnel[[#This Row],[Fonction à supprimer]]="NON",0,TPersonnel[[#This Row],[Nb CP Acquis]]+TPersonnel[[#This Row],[Préavis Calc (mois)]]*2.08)</f>
        <v>0</v>
      </c>
      <c r="AP18" s="288">
        <f>TPersonnel[[#This Row],[CP Calc (jrs)]]*TPersonnel[[#This Row],[Salaire Brut de référence]]/21.67</f>
        <v>0</v>
      </c>
      <c r="AQ18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8" s="288">
        <f>TPersonnel[[#This Row],[TOTAL INDEM]]+TPersonnel[[#This Row],[Indem Préavis Brut]]+TPersonnel[[#This Row],[Indem CP]]+TPersonnel[[#This Row],[COÛT Charges Patronales]]</f>
        <v>0</v>
      </c>
    </row>
    <row r="19" spans="1:44" x14ac:dyDescent="0.45">
      <c r="A19" s="186">
        <v>81</v>
      </c>
      <c r="B19" s="61" t="s">
        <v>45</v>
      </c>
      <c r="C19" s="6" t="s">
        <v>92</v>
      </c>
      <c r="D19" s="6" t="s">
        <v>93</v>
      </c>
      <c r="E19" s="6" t="s">
        <v>56</v>
      </c>
      <c r="F19" s="6" t="s">
        <v>85</v>
      </c>
      <c r="G19" s="6" t="s">
        <v>50</v>
      </c>
      <c r="H19" s="6" t="s">
        <v>51</v>
      </c>
      <c r="I19" s="190" t="s">
        <v>52</v>
      </c>
      <c r="J19" s="62" t="s">
        <v>53</v>
      </c>
      <c r="K19" s="7">
        <v>44440</v>
      </c>
      <c r="L19" s="7">
        <v>44440</v>
      </c>
      <c r="M19" s="7">
        <v>36214</v>
      </c>
      <c r="N19" s="9">
        <v>2439.79</v>
      </c>
      <c r="O19" s="9"/>
      <c r="P19" s="65">
        <v>19.579999999999998</v>
      </c>
      <c r="Q19" s="7" t="str">
        <f>IF(UPPER(B19)="OUI",'📈 Dashboard'!$B$37,"")</f>
        <v/>
      </c>
      <c r="R19" s="9">
        <f t="shared" si="0"/>
        <v>2439.79</v>
      </c>
      <c r="S19" s="9">
        <v>2709.01</v>
      </c>
      <c r="T19" s="8">
        <f t="shared" ca="1" si="1"/>
        <v>4.5366187542778915</v>
      </c>
      <c r="U19" s="8">
        <f t="shared" ca="1" si="2"/>
        <v>27.058179329226558</v>
      </c>
      <c r="V19" s="10">
        <f t="shared" si="3"/>
        <v>29277.48</v>
      </c>
      <c r="W19">
        <f t="shared" ca="1" si="4"/>
        <v>2</v>
      </c>
      <c r="X19" s="8">
        <f t="shared" ca="1" si="5"/>
        <v>4.5366187542778915</v>
      </c>
      <c r="Y19" s="6"/>
      <c r="Z19" s="9"/>
      <c r="AA19" s="9"/>
      <c r="AB19" s="9"/>
      <c r="AC19" s="6"/>
      <c r="AG19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19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19" t="str">
        <f>IF(TPersonnel[[#This Row],[INDEM LÉGALE]]=0,"",IF(TPersonnel[[#This Row],[INDEM LÉGALE]]&gt;TPersonnel[[#This Row],[INDEM CONV.]],"LEGAL","CONVENTIONNEL"))</f>
        <v/>
      </c>
      <c r="AJ19" s="288">
        <f>MAX(TPersonnel[[#This Row],[INDEM LÉGALE]],TPersonnel[[#This Row],[INDEM CONV.]])</f>
        <v>0</v>
      </c>
      <c r="AK19" s="288">
        <f>TPersonnel[[#This Row],[INDEM RETENUE]]*'⚙️ Parametres'!$B$5</f>
        <v>0</v>
      </c>
      <c r="AL19" s="288">
        <f>TPersonnel[[#This Row],[INDEM RETENUE]]+TPersonnel[[#This Row],[Majoration PSE]]</f>
        <v>0</v>
      </c>
      <c r="AM19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19" s="288">
        <f>IF(UPPER(TPersonnel[[#This Row],[Fonction à supprimer]])="NON",0,TPersonnel[[#This Row],[Préavis Calc (mois)]]*TPersonnel[[#This Row],[Salaire Brut de référence]])</f>
        <v>0</v>
      </c>
      <c r="AO19">
        <f>IF(TPersonnel[[#This Row],[Fonction à supprimer]]="NON",0,TPersonnel[[#This Row],[Nb CP Acquis]]+TPersonnel[[#This Row],[Préavis Calc (mois)]]*2.08)</f>
        <v>0</v>
      </c>
      <c r="AP19" s="288">
        <f>TPersonnel[[#This Row],[CP Calc (jrs)]]*TPersonnel[[#This Row],[Salaire Brut de référence]]/21.67</f>
        <v>0</v>
      </c>
      <c r="AQ19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19" s="288">
        <f>TPersonnel[[#This Row],[TOTAL INDEM]]+TPersonnel[[#This Row],[Indem Préavis Brut]]+TPersonnel[[#This Row],[Indem CP]]+TPersonnel[[#This Row],[COÛT Charges Patronales]]</f>
        <v>0</v>
      </c>
    </row>
    <row r="20" spans="1:44" x14ac:dyDescent="0.45">
      <c r="A20" s="186">
        <v>83</v>
      </c>
      <c r="B20" s="61" t="s">
        <v>45</v>
      </c>
      <c r="C20" s="6" t="s">
        <v>94</v>
      </c>
      <c r="D20" s="6" t="s">
        <v>95</v>
      </c>
      <c r="E20" s="6" t="s">
        <v>63</v>
      </c>
      <c r="F20" s="6" t="s">
        <v>85</v>
      </c>
      <c r="G20" s="6" t="s">
        <v>50</v>
      </c>
      <c r="H20" s="6" t="s">
        <v>51</v>
      </c>
      <c r="I20" s="190" t="s">
        <v>52</v>
      </c>
      <c r="J20" s="62" t="s">
        <v>53</v>
      </c>
      <c r="K20" s="7">
        <v>44446</v>
      </c>
      <c r="L20" s="7">
        <v>44446</v>
      </c>
      <c r="M20" s="7">
        <v>29677</v>
      </c>
      <c r="N20" s="9">
        <v>3151.19</v>
      </c>
      <c r="O20" s="9"/>
      <c r="P20" s="65">
        <v>7.08</v>
      </c>
      <c r="Q20" s="7" t="str">
        <f>IF(UPPER(B20)="OUI",'📈 Dashboard'!$B$37,"")</f>
        <v/>
      </c>
      <c r="R20" s="9">
        <f t="shared" si="0"/>
        <v>3151.19</v>
      </c>
      <c r="S20" s="9">
        <v>1038.1500000000001</v>
      </c>
      <c r="T20" s="8">
        <f t="shared" ca="1" si="1"/>
        <v>4.5201916495550991</v>
      </c>
      <c r="U20" s="8">
        <f t="shared" ca="1" si="2"/>
        <v>44.955509924709105</v>
      </c>
      <c r="V20" s="10">
        <f t="shared" si="3"/>
        <v>37814.28</v>
      </c>
      <c r="W20">
        <f t="shared" ca="1" si="4"/>
        <v>2</v>
      </c>
      <c r="X20" s="8">
        <f t="shared" ca="1" si="5"/>
        <v>4.5201916495550991</v>
      </c>
      <c r="Y20" s="6"/>
      <c r="Z20" s="9"/>
      <c r="AA20" s="9"/>
      <c r="AB20" s="9"/>
      <c r="AC20" s="6"/>
      <c r="AG20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0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0" t="str">
        <f>IF(TPersonnel[[#This Row],[INDEM LÉGALE]]=0,"",IF(TPersonnel[[#This Row],[INDEM LÉGALE]]&gt;TPersonnel[[#This Row],[INDEM CONV.]],"LEGAL","CONVENTIONNEL"))</f>
        <v/>
      </c>
      <c r="AJ20" s="288">
        <f>MAX(TPersonnel[[#This Row],[INDEM LÉGALE]],TPersonnel[[#This Row],[INDEM CONV.]])</f>
        <v>0</v>
      </c>
      <c r="AK20" s="288">
        <f>TPersonnel[[#This Row],[INDEM RETENUE]]*'⚙️ Parametres'!$B$5</f>
        <v>0</v>
      </c>
      <c r="AL20" s="288">
        <f>TPersonnel[[#This Row],[INDEM RETENUE]]+TPersonnel[[#This Row],[Majoration PSE]]</f>
        <v>0</v>
      </c>
      <c r="AM20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0" s="288">
        <f>IF(UPPER(TPersonnel[[#This Row],[Fonction à supprimer]])="NON",0,TPersonnel[[#This Row],[Préavis Calc (mois)]]*TPersonnel[[#This Row],[Salaire Brut de référence]])</f>
        <v>0</v>
      </c>
      <c r="AO20">
        <f>IF(TPersonnel[[#This Row],[Fonction à supprimer]]="NON",0,TPersonnel[[#This Row],[Nb CP Acquis]]+TPersonnel[[#This Row],[Préavis Calc (mois)]]*2.08)</f>
        <v>0</v>
      </c>
      <c r="AP20" s="288">
        <f>TPersonnel[[#This Row],[CP Calc (jrs)]]*TPersonnel[[#This Row],[Salaire Brut de référence]]/21.67</f>
        <v>0</v>
      </c>
      <c r="AQ20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0" s="288">
        <f>TPersonnel[[#This Row],[TOTAL INDEM]]+TPersonnel[[#This Row],[Indem Préavis Brut]]+TPersonnel[[#This Row],[Indem CP]]+TPersonnel[[#This Row],[COÛT Charges Patronales]]</f>
        <v>0</v>
      </c>
    </row>
    <row r="21" spans="1:44" x14ac:dyDescent="0.45">
      <c r="A21" s="186">
        <v>2772</v>
      </c>
      <c r="B21" s="61" t="s">
        <v>45</v>
      </c>
      <c r="C21" s="6" t="s">
        <v>96</v>
      </c>
      <c r="D21" s="6" t="s">
        <v>97</v>
      </c>
      <c r="E21" s="6" t="s">
        <v>56</v>
      </c>
      <c r="F21" s="6" t="s">
        <v>98</v>
      </c>
      <c r="G21" s="6" t="s">
        <v>50</v>
      </c>
      <c r="H21" s="6" t="s">
        <v>99</v>
      </c>
      <c r="I21" s="191">
        <v>125</v>
      </c>
      <c r="J21" s="62" t="s">
        <v>53</v>
      </c>
      <c r="K21" s="7">
        <v>44440</v>
      </c>
      <c r="L21" s="7">
        <v>44440</v>
      </c>
      <c r="M21" s="7">
        <v>31293</v>
      </c>
      <c r="N21" s="9">
        <v>2550</v>
      </c>
      <c r="O21" s="9"/>
      <c r="P21" s="65">
        <v>28.08</v>
      </c>
      <c r="Q21" s="7" t="str">
        <f>IF(UPPER(B21)="OUI",'📈 Dashboard'!$B$37,"")</f>
        <v/>
      </c>
      <c r="R21" s="9">
        <f t="shared" si="0"/>
        <v>2550</v>
      </c>
      <c r="S21" s="9">
        <v>3437.4</v>
      </c>
      <c r="T21" s="8">
        <f t="shared" ca="1" si="1"/>
        <v>4.5366187542778915</v>
      </c>
      <c r="U21" s="8">
        <f t="shared" ca="1" si="2"/>
        <v>40.531143052703626</v>
      </c>
      <c r="V21" s="10">
        <f t="shared" si="3"/>
        <v>30600</v>
      </c>
      <c r="W21">
        <f t="shared" ca="1" si="4"/>
        <v>2</v>
      </c>
      <c r="X21" s="8">
        <f t="shared" ca="1" si="5"/>
        <v>4.5366187542778915</v>
      </c>
      <c r="Y21" s="6"/>
      <c r="Z21" s="9"/>
      <c r="AA21" s="9"/>
      <c r="AB21" s="9"/>
      <c r="AC21" s="6"/>
      <c r="AG21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1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1" t="str">
        <f>IF(TPersonnel[[#This Row],[INDEM LÉGALE]]=0,"",IF(TPersonnel[[#This Row],[INDEM LÉGALE]]&gt;TPersonnel[[#This Row],[INDEM CONV.]],"LEGAL","CONVENTIONNEL"))</f>
        <v/>
      </c>
      <c r="AJ21" s="288">
        <f>MAX(TPersonnel[[#This Row],[INDEM LÉGALE]],TPersonnel[[#This Row],[INDEM CONV.]])</f>
        <v>0</v>
      </c>
      <c r="AK21" s="288">
        <f>TPersonnel[[#This Row],[INDEM RETENUE]]*'⚙️ Parametres'!$B$5</f>
        <v>0</v>
      </c>
      <c r="AL21" s="288">
        <f>TPersonnel[[#This Row],[INDEM RETENUE]]+TPersonnel[[#This Row],[Majoration PSE]]</f>
        <v>0</v>
      </c>
      <c r="AM21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1" s="288">
        <f>IF(UPPER(TPersonnel[[#This Row],[Fonction à supprimer]])="NON",0,TPersonnel[[#This Row],[Préavis Calc (mois)]]*TPersonnel[[#This Row],[Salaire Brut de référence]])</f>
        <v>0</v>
      </c>
      <c r="AO21">
        <f>IF(TPersonnel[[#This Row],[Fonction à supprimer]]="NON",0,TPersonnel[[#This Row],[Nb CP Acquis]]+TPersonnel[[#This Row],[Préavis Calc (mois)]]*2.08)</f>
        <v>0</v>
      </c>
      <c r="AP21" s="288">
        <f>TPersonnel[[#This Row],[CP Calc (jrs)]]*TPersonnel[[#This Row],[Salaire Brut de référence]]/21.67</f>
        <v>0</v>
      </c>
      <c r="AQ21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1" s="288">
        <f>TPersonnel[[#This Row],[TOTAL INDEM]]+TPersonnel[[#This Row],[Indem Préavis Brut]]+TPersonnel[[#This Row],[Indem CP]]+TPersonnel[[#This Row],[COÛT Charges Patronales]]</f>
        <v>0</v>
      </c>
    </row>
    <row r="22" spans="1:44" x14ac:dyDescent="0.45">
      <c r="A22" s="186">
        <v>2773</v>
      </c>
      <c r="B22" s="61" t="s">
        <v>45</v>
      </c>
      <c r="C22" s="6" t="s">
        <v>100</v>
      </c>
      <c r="D22" s="6" t="s">
        <v>101</v>
      </c>
      <c r="E22" s="6" t="s">
        <v>63</v>
      </c>
      <c r="F22" s="6" t="s">
        <v>85</v>
      </c>
      <c r="G22" s="6" t="s">
        <v>50</v>
      </c>
      <c r="H22" s="6" t="s">
        <v>51</v>
      </c>
      <c r="I22" s="190" t="s">
        <v>52</v>
      </c>
      <c r="J22" s="62" t="s">
        <v>53</v>
      </c>
      <c r="K22" s="7">
        <v>44473</v>
      </c>
      <c r="L22" s="7">
        <v>44473</v>
      </c>
      <c r="M22" s="7">
        <v>31093</v>
      </c>
      <c r="N22" s="9">
        <v>2751.22</v>
      </c>
      <c r="O22" s="9"/>
      <c r="P22" s="65">
        <v>6.58</v>
      </c>
      <c r="Q22" s="7" t="str">
        <f>IF(UPPER(B22)="OUI",'📈 Dashboard'!$B$37,"")</f>
        <v/>
      </c>
      <c r="R22" s="9">
        <f t="shared" si="0"/>
        <v>2751.22</v>
      </c>
      <c r="S22" s="9">
        <v>889.17</v>
      </c>
      <c r="T22" s="8">
        <f t="shared" ca="1" si="1"/>
        <v>4.4462696783025324</v>
      </c>
      <c r="U22" s="8">
        <f t="shared" ca="1" si="2"/>
        <v>41.078713210130047</v>
      </c>
      <c r="V22" s="10">
        <f t="shared" si="3"/>
        <v>33014.639999999999</v>
      </c>
      <c r="W22">
        <f t="shared" ca="1" si="4"/>
        <v>2</v>
      </c>
      <c r="X22" s="8">
        <f t="shared" ca="1" si="5"/>
        <v>4.4462696783025324</v>
      </c>
      <c r="Y22" s="6"/>
      <c r="Z22" s="9"/>
      <c r="AA22" s="9"/>
      <c r="AB22" s="9"/>
      <c r="AC22" s="6"/>
      <c r="AG22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2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2" t="str">
        <f>IF(TPersonnel[[#This Row],[INDEM LÉGALE]]=0,"",IF(TPersonnel[[#This Row],[INDEM LÉGALE]]&gt;TPersonnel[[#This Row],[INDEM CONV.]],"LEGAL","CONVENTIONNEL"))</f>
        <v/>
      </c>
      <c r="AJ22" s="288">
        <f>MAX(TPersonnel[[#This Row],[INDEM LÉGALE]],TPersonnel[[#This Row],[INDEM CONV.]])</f>
        <v>0</v>
      </c>
      <c r="AK22" s="288">
        <f>TPersonnel[[#This Row],[INDEM RETENUE]]*'⚙️ Parametres'!$B$5</f>
        <v>0</v>
      </c>
      <c r="AL22" s="288">
        <f>TPersonnel[[#This Row],[INDEM RETENUE]]+TPersonnel[[#This Row],[Majoration PSE]]</f>
        <v>0</v>
      </c>
      <c r="AM22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2" s="288">
        <f>IF(UPPER(TPersonnel[[#This Row],[Fonction à supprimer]])="NON",0,TPersonnel[[#This Row],[Préavis Calc (mois)]]*TPersonnel[[#This Row],[Salaire Brut de référence]])</f>
        <v>0</v>
      </c>
      <c r="AO22">
        <f>IF(TPersonnel[[#This Row],[Fonction à supprimer]]="NON",0,TPersonnel[[#This Row],[Nb CP Acquis]]+TPersonnel[[#This Row],[Préavis Calc (mois)]]*2.08)</f>
        <v>0</v>
      </c>
      <c r="AP22" s="288">
        <f>TPersonnel[[#This Row],[CP Calc (jrs)]]*TPersonnel[[#This Row],[Salaire Brut de référence]]/21.67</f>
        <v>0</v>
      </c>
      <c r="AQ22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2" s="288">
        <f>TPersonnel[[#This Row],[TOTAL INDEM]]+TPersonnel[[#This Row],[Indem Préavis Brut]]+TPersonnel[[#This Row],[Indem CP]]+TPersonnel[[#This Row],[COÛT Charges Patronales]]</f>
        <v>0</v>
      </c>
    </row>
    <row r="23" spans="1:44" x14ac:dyDescent="0.45">
      <c r="A23" s="186">
        <v>2774</v>
      </c>
      <c r="B23" s="61" t="s">
        <v>45</v>
      </c>
      <c r="C23" s="6" t="s">
        <v>102</v>
      </c>
      <c r="D23" s="6" t="s">
        <v>103</v>
      </c>
      <c r="E23" s="6" t="s">
        <v>56</v>
      </c>
      <c r="F23" s="6" t="s">
        <v>85</v>
      </c>
      <c r="G23" s="6" t="s">
        <v>50</v>
      </c>
      <c r="H23" s="6" t="s">
        <v>51</v>
      </c>
      <c r="I23" s="190" t="s">
        <v>52</v>
      </c>
      <c r="J23" s="62" t="s">
        <v>53</v>
      </c>
      <c r="K23" s="7">
        <v>44480</v>
      </c>
      <c r="L23" s="7">
        <v>44480</v>
      </c>
      <c r="M23" s="7">
        <v>28742</v>
      </c>
      <c r="N23" s="9">
        <v>2453.29</v>
      </c>
      <c r="O23" s="9"/>
      <c r="P23" s="65">
        <v>24.58</v>
      </c>
      <c r="Q23" s="7" t="str">
        <f>IF(UPPER(B23)="OUI",'📈 Dashboard'!$B$37,"")</f>
        <v/>
      </c>
      <c r="R23" s="9">
        <f t="shared" si="0"/>
        <v>2453.29</v>
      </c>
      <c r="S23" s="9">
        <v>3089.9</v>
      </c>
      <c r="T23" s="8">
        <f t="shared" ca="1" si="1"/>
        <v>4.4271047227926079</v>
      </c>
      <c r="U23" s="8">
        <f t="shared" ca="1" si="2"/>
        <v>47.515400410677621</v>
      </c>
      <c r="V23" s="10">
        <f t="shared" si="3"/>
        <v>29439.48</v>
      </c>
      <c r="W23">
        <f t="shared" ca="1" si="4"/>
        <v>2</v>
      </c>
      <c r="X23" s="8">
        <f t="shared" ca="1" si="5"/>
        <v>4.4271047227926079</v>
      </c>
      <c r="Y23" s="6"/>
      <c r="Z23" s="9"/>
      <c r="AA23" s="9"/>
      <c r="AB23" s="9"/>
      <c r="AC23" s="6"/>
      <c r="AG23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3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3" t="str">
        <f>IF(TPersonnel[[#This Row],[INDEM LÉGALE]]=0,"",IF(TPersonnel[[#This Row],[INDEM LÉGALE]]&gt;TPersonnel[[#This Row],[INDEM CONV.]],"LEGAL","CONVENTIONNEL"))</f>
        <v/>
      </c>
      <c r="AJ23" s="288">
        <f>MAX(TPersonnel[[#This Row],[INDEM LÉGALE]],TPersonnel[[#This Row],[INDEM CONV.]])</f>
        <v>0</v>
      </c>
      <c r="AK23" s="288">
        <f>TPersonnel[[#This Row],[INDEM RETENUE]]*'⚙️ Parametres'!$B$5</f>
        <v>0</v>
      </c>
      <c r="AL23" s="288">
        <f>TPersonnel[[#This Row],[INDEM RETENUE]]+TPersonnel[[#This Row],[Majoration PSE]]</f>
        <v>0</v>
      </c>
      <c r="AM23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3" s="288">
        <f>IF(UPPER(TPersonnel[[#This Row],[Fonction à supprimer]])="NON",0,TPersonnel[[#This Row],[Préavis Calc (mois)]]*TPersonnel[[#This Row],[Salaire Brut de référence]])</f>
        <v>0</v>
      </c>
      <c r="AO23">
        <f>IF(TPersonnel[[#This Row],[Fonction à supprimer]]="NON",0,TPersonnel[[#This Row],[Nb CP Acquis]]+TPersonnel[[#This Row],[Préavis Calc (mois)]]*2.08)</f>
        <v>0</v>
      </c>
      <c r="AP23" s="288">
        <f>TPersonnel[[#This Row],[CP Calc (jrs)]]*TPersonnel[[#This Row],[Salaire Brut de référence]]/21.67</f>
        <v>0</v>
      </c>
      <c r="AQ23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3" s="288">
        <f>TPersonnel[[#This Row],[TOTAL INDEM]]+TPersonnel[[#This Row],[Indem Préavis Brut]]+TPersonnel[[#This Row],[Indem CP]]+TPersonnel[[#This Row],[COÛT Charges Patronales]]</f>
        <v>0</v>
      </c>
    </row>
    <row r="24" spans="1:44" x14ac:dyDescent="0.45">
      <c r="A24" s="186">
        <v>2782</v>
      </c>
      <c r="B24" s="61" t="s">
        <v>45</v>
      </c>
      <c r="C24" s="6" t="s">
        <v>104</v>
      </c>
      <c r="D24" s="6" t="s">
        <v>105</v>
      </c>
      <c r="E24" s="6" t="s">
        <v>63</v>
      </c>
      <c r="F24" s="6" t="s">
        <v>85</v>
      </c>
      <c r="G24" s="6" t="s">
        <v>50</v>
      </c>
      <c r="H24" s="6" t="s">
        <v>51</v>
      </c>
      <c r="I24" s="190" t="s">
        <v>52</v>
      </c>
      <c r="J24" s="62" t="s">
        <v>53</v>
      </c>
      <c r="K24" s="7">
        <v>44867</v>
      </c>
      <c r="L24" s="7">
        <v>44867</v>
      </c>
      <c r="M24" s="7">
        <v>28437</v>
      </c>
      <c r="N24" s="9">
        <v>2303.2600000000002</v>
      </c>
      <c r="O24" s="9"/>
      <c r="P24" s="65">
        <v>0.08</v>
      </c>
      <c r="Q24" s="7" t="str">
        <f>IF(UPPER(B24)="OUI",'📈 Dashboard'!$B$37,"")</f>
        <v/>
      </c>
      <c r="R24" s="9">
        <f t="shared" si="0"/>
        <v>2303.2600000000002</v>
      </c>
      <c r="S24" s="9">
        <v>9.35</v>
      </c>
      <c r="T24" s="8">
        <f t="shared" ca="1" si="1"/>
        <v>3.3675564681724848</v>
      </c>
      <c r="U24" s="8">
        <f t="shared" ca="1" si="2"/>
        <v>48.350444900752912</v>
      </c>
      <c r="V24" s="10">
        <f t="shared" si="3"/>
        <v>27639.120000000003</v>
      </c>
      <c r="W24">
        <f t="shared" ca="1" si="4"/>
        <v>2</v>
      </c>
      <c r="X24" s="8">
        <f t="shared" ca="1" si="5"/>
        <v>3.3675564681724848</v>
      </c>
      <c r="Y24" s="6"/>
      <c r="Z24" s="9"/>
      <c r="AA24" s="9"/>
      <c r="AB24" s="9"/>
      <c r="AC24" s="6"/>
      <c r="AG24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4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4" t="str">
        <f>IF(TPersonnel[[#This Row],[INDEM LÉGALE]]=0,"",IF(TPersonnel[[#This Row],[INDEM LÉGALE]]&gt;TPersonnel[[#This Row],[INDEM CONV.]],"LEGAL","CONVENTIONNEL"))</f>
        <v/>
      </c>
      <c r="AJ24" s="288">
        <f>MAX(TPersonnel[[#This Row],[INDEM LÉGALE]],TPersonnel[[#This Row],[INDEM CONV.]])</f>
        <v>0</v>
      </c>
      <c r="AK24" s="288">
        <f>TPersonnel[[#This Row],[INDEM RETENUE]]*'⚙️ Parametres'!$B$5</f>
        <v>0</v>
      </c>
      <c r="AL24" s="288">
        <f>TPersonnel[[#This Row],[INDEM RETENUE]]+TPersonnel[[#This Row],[Majoration PSE]]</f>
        <v>0</v>
      </c>
      <c r="AM24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4" s="288">
        <f>IF(UPPER(TPersonnel[[#This Row],[Fonction à supprimer]])="NON",0,TPersonnel[[#This Row],[Préavis Calc (mois)]]*TPersonnel[[#This Row],[Salaire Brut de référence]])</f>
        <v>0</v>
      </c>
      <c r="AO24">
        <f>IF(TPersonnel[[#This Row],[Fonction à supprimer]]="NON",0,TPersonnel[[#This Row],[Nb CP Acquis]]+TPersonnel[[#This Row],[Préavis Calc (mois)]]*2.08)</f>
        <v>0</v>
      </c>
      <c r="AP24" s="288">
        <f>TPersonnel[[#This Row],[CP Calc (jrs)]]*TPersonnel[[#This Row],[Salaire Brut de référence]]/21.67</f>
        <v>0</v>
      </c>
      <c r="AQ24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4" s="288">
        <f>TPersonnel[[#This Row],[TOTAL INDEM]]+TPersonnel[[#This Row],[Indem Préavis Brut]]+TPersonnel[[#This Row],[Indem CP]]+TPersonnel[[#This Row],[COÛT Charges Patronales]]</f>
        <v>0</v>
      </c>
    </row>
    <row r="25" spans="1:44" x14ac:dyDescent="0.45">
      <c r="A25" s="186">
        <v>2784</v>
      </c>
      <c r="B25" s="61" t="s">
        <v>45</v>
      </c>
      <c r="C25" s="6" t="s">
        <v>106</v>
      </c>
      <c r="D25" s="6" t="s">
        <v>107</v>
      </c>
      <c r="E25" s="6" t="s">
        <v>56</v>
      </c>
      <c r="F25" s="6" t="s">
        <v>57</v>
      </c>
      <c r="G25" s="6" t="s">
        <v>50</v>
      </c>
      <c r="H25" s="6" t="s">
        <v>51</v>
      </c>
      <c r="I25" s="190" t="s">
        <v>52</v>
      </c>
      <c r="J25" s="62" t="s">
        <v>53</v>
      </c>
      <c r="K25" s="7">
        <v>45027</v>
      </c>
      <c r="L25" s="7">
        <v>45027</v>
      </c>
      <c r="M25" s="7">
        <v>32534</v>
      </c>
      <c r="N25" s="9">
        <v>2288.84</v>
      </c>
      <c r="O25" s="9"/>
      <c r="P25" s="65">
        <v>-4.42</v>
      </c>
      <c r="Q25" s="7" t="str">
        <f>IF(UPPER(B25)="OUI",'📈 Dashboard'!$B$37,"")</f>
        <v/>
      </c>
      <c r="R25" s="9">
        <f t="shared" si="0"/>
        <v>2288.84</v>
      </c>
      <c r="S25" s="9">
        <v>-437.27</v>
      </c>
      <c r="T25" s="8">
        <f t="shared" ca="1" si="1"/>
        <v>2.9295003422313486</v>
      </c>
      <c r="U25" s="8">
        <f t="shared" ca="1" si="2"/>
        <v>37.133470225872692</v>
      </c>
      <c r="V25" s="10">
        <f t="shared" si="3"/>
        <v>27466.080000000002</v>
      </c>
      <c r="W25">
        <f t="shared" ca="1" si="4"/>
        <v>2</v>
      </c>
      <c r="X25" s="8">
        <f t="shared" ca="1" si="5"/>
        <v>2.9295003422313486</v>
      </c>
      <c r="Y25" s="6"/>
      <c r="Z25" s="9"/>
      <c r="AA25" s="9"/>
      <c r="AB25" s="9"/>
      <c r="AC25" s="6"/>
      <c r="AG25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5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5" t="str">
        <f>IF(TPersonnel[[#This Row],[INDEM LÉGALE]]=0,"",IF(TPersonnel[[#This Row],[INDEM LÉGALE]]&gt;TPersonnel[[#This Row],[INDEM CONV.]],"LEGAL","CONVENTIONNEL"))</f>
        <v/>
      </c>
      <c r="AJ25" s="288">
        <f>MAX(TPersonnel[[#This Row],[INDEM LÉGALE]],TPersonnel[[#This Row],[INDEM CONV.]])</f>
        <v>0</v>
      </c>
      <c r="AK25" s="288">
        <f>TPersonnel[[#This Row],[INDEM RETENUE]]*'⚙️ Parametres'!$B$5</f>
        <v>0</v>
      </c>
      <c r="AL25" s="288">
        <f>TPersonnel[[#This Row],[INDEM RETENUE]]+TPersonnel[[#This Row],[Majoration PSE]]</f>
        <v>0</v>
      </c>
      <c r="AM25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5" s="288">
        <f>IF(UPPER(TPersonnel[[#This Row],[Fonction à supprimer]])="NON",0,TPersonnel[[#This Row],[Préavis Calc (mois)]]*TPersonnel[[#This Row],[Salaire Brut de référence]])</f>
        <v>0</v>
      </c>
      <c r="AO25">
        <f>IF(TPersonnel[[#This Row],[Fonction à supprimer]]="NON",0,TPersonnel[[#This Row],[Nb CP Acquis]]+TPersonnel[[#This Row],[Préavis Calc (mois)]]*2.08)</f>
        <v>0</v>
      </c>
      <c r="AP25" s="288">
        <f>TPersonnel[[#This Row],[CP Calc (jrs)]]*TPersonnel[[#This Row],[Salaire Brut de référence]]/21.67</f>
        <v>0</v>
      </c>
      <c r="AQ25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5" s="288">
        <f>TPersonnel[[#This Row],[TOTAL INDEM]]+TPersonnel[[#This Row],[Indem Préavis Brut]]+TPersonnel[[#This Row],[Indem CP]]+TPersonnel[[#This Row],[COÛT Charges Patronales]]</f>
        <v>0</v>
      </c>
    </row>
    <row r="26" spans="1:44" x14ac:dyDescent="0.45">
      <c r="A26" s="186">
        <v>2789</v>
      </c>
      <c r="B26" s="61" t="s">
        <v>45</v>
      </c>
      <c r="C26" s="6" t="s">
        <v>108</v>
      </c>
      <c r="D26" s="6" t="s">
        <v>109</v>
      </c>
      <c r="E26" s="6" t="s">
        <v>48</v>
      </c>
      <c r="F26" s="6" t="s">
        <v>110</v>
      </c>
      <c r="G26" s="6" t="s">
        <v>50</v>
      </c>
      <c r="H26" s="6" t="s">
        <v>51</v>
      </c>
      <c r="I26" s="190" t="s">
        <v>60</v>
      </c>
      <c r="J26" s="62" t="s">
        <v>53</v>
      </c>
      <c r="K26" s="7">
        <v>45201</v>
      </c>
      <c r="L26" s="7">
        <v>45201</v>
      </c>
      <c r="M26" s="7">
        <v>31247</v>
      </c>
      <c r="N26" s="9">
        <v>2836.9</v>
      </c>
      <c r="O26" s="9"/>
      <c r="P26" s="65">
        <v>18.579999999999998</v>
      </c>
      <c r="Q26" s="7" t="str">
        <f>IF(UPPER(B26)="OUI",'📈 Dashboard'!$B$37,"")</f>
        <v/>
      </c>
      <c r="R26" s="9">
        <f t="shared" si="0"/>
        <v>2836.9</v>
      </c>
      <c r="S26" s="9">
        <v>2508.63</v>
      </c>
      <c r="T26" s="8">
        <f t="shared" ca="1" si="1"/>
        <v>2.4531143052703626</v>
      </c>
      <c r="U26" s="8">
        <f t="shared" ca="1" si="2"/>
        <v>40.657084188911703</v>
      </c>
      <c r="V26" s="10">
        <f t="shared" si="3"/>
        <v>34042.800000000003</v>
      </c>
      <c r="W26">
        <f t="shared" ca="1" si="4"/>
        <v>2</v>
      </c>
      <c r="X26" s="8">
        <f t="shared" ca="1" si="5"/>
        <v>2.4531143052703626</v>
      </c>
      <c r="Y26" s="6"/>
      <c r="Z26" s="9"/>
      <c r="AA26" s="9"/>
      <c r="AB26" s="9"/>
      <c r="AC26" s="6"/>
      <c r="AG26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6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6" t="str">
        <f>IF(TPersonnel[[#This Row],[INDEM LÉGALE]]=0,"",IF(TPersonnel[[#This Row],[INDEM LÉGALE]]&gt;TPersonnel[[#This Row],[INDEM CONV.]],"LEGAL","CONVENTIONNEL"))</f>
        <v/>
      </c>
      <c r="AJ26" s="288">
        <f>MAX(TPersonnel[[#This Row],[INDEM LÉGALE]],TPersonnel[[#This Row],[INDEM CONV.]])</f>
        <v>0</v>
      </c>
      <c r="AK26" s="288">
        <f>TPersonnel[[#This Row],[INDEM RETENUE]]*'⚙️ Parametres'!$B$5</f>
        <v>0</v>
      </c>
      <c r="AL26" s="288">
        <f>TPersonnel[[#This Row],[INDEM RETENUE]]+TPersonnel[[#This Row],[Majoration PSE]]</f>
        <v>0</v>
      </c>
      <c r="AM26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6" s="288">
        <f>IF(UPPER(TPersonnel[[#This Row],[Fonction à supprimer]])="NON",0,TPersonnel[[#This Row],[Préavis Calc (mois)]]*TPersonnel[[#This Row],[Salaire Brut de référence]])</f>
        <v>0</v>
      </c>
      <c r="AO26">
        <f>IF(TPersonnel[[#This Row],[Fonction à supprimer]]="NON",0,TPersonnel[[#This Row],[Nb CP Acquis]]+TPersonnel[[#This Row],[Préavis Calc (mois)]]*2.08)</f>
        <v>0</v>
      </c>
      <c r="AP26" s="288">
        <f>TPersonnel[[#This Row],[CP Calc (jrs)]]*TPersonnel[[#This Row],[Salaire Brut de référence]]/21.67</f>
        <v>0</v>
      </c>
      <c r="AQ26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6" s="288">
        <f>TPersonnel[[#This Row],[TOTAL INDEM]]+TPersonnel[[#This Row],[Indem Préavis Brut]]+TPersonnel[[#This Row],[Indem CP]]+TPersonnel[[#This Row],[COÛT Charges Patronales]]</f>
        <v>0</v>
      </c>
    </row>
    <row r="27" spans="1:44" x14ac:dyDescent="0.45">
      <c r="A27" s="186">
        <v>2791</v>
      </c>
      <c r="B27" s="61" t="s">
        <v>45</v>
      </c>
      <c r="C27" s="6" t="s">
        <v>111</v>
      </c>
      <c r="D27" s="6" t="s">
        <v>112</v>
      </c>
      <c r="E27" s="6" t="s">
        <v>56</v>
      </c>
      <c r="F27" s="6" t="s">
        <v>85</v>
      </c>
      <c r="G27" s="6" t="s">
        <v>50</v>
      </c>
      <c r="H27" s="6" t="s">
        <v>51</v>
      </c>
      <c r="I27" s="190" t="s">
        <v>52</v>
      </c>
      <c r="J27" s="62" t="s">
        <v>53</v>
      </c>
      <c r="K27" s="7">
        <v>45208</v>
      </c>
      <c r="L27" s="7">
        <v>45208</v>
      </c>
      <c r="M27" s="7">
        <v>25564</v>
      </c>
      <c r="N27" s="9">
        <v>2295.41</v>
      </c>
      <c r="O27" s="9"/>
      <c r="P27" s="65">
        <v>9.58</v>
      </c>
      <c r="Q27" s="7" t="str">
        <f>IF(UPPER(B27)="OUI",'📈 Dashboard'!$B$37,"")</f>
        <v/>
      </c>
      <c r="R27" s="9">
        <f t="shared" si="0"/>
        <v>2295.41</v>
      </c>
      <c r="S27" s="9">
        <v>1083.43</v>
      </c>
      <c r="T27" s="8">
        <f t="shared" ca="1" si="1"/>
        <v>2.4339493497604381</v>
      </c>
      <c r="U27" s="8">
        <f t="shared" ca="1" si="2"/>
        <v>56.216290212183438</v>
      </c>
      <c r="V27" s="10">
        <f t="shared" si="3"/>
        <v>27544.92</v>
      </c>
      <c r="W27">
        <f t="shared" ca="1" si="4"/>
        <v>2</v>
      </c>
      <c r="X27" s="8">
        <f t="shared" ca="1" si="5"/>
        <v>2.4339493497604381</v>
      </c>
      <c r="Y27" s="6"/>
      <c r="Z27" s="9"/>
      <c r="AA27" s="9"/>
      <c r="AB27" s="9"/>
      <c r="AC27" s="6"/>
      <c r="AG27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7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7" t="str">
        <f>IF(TPersonnel[[#This Row],[INDEM LÉGALE]]=0,"",IF(TPersonnel[[#This Row],[INDEM LÉGALE]]&gt;TPersonnel[[#This Row],[INDEM CONV.]],"LEGAL","CONVENTIONNEL"))</f>
        <v/>
      </c>
      <c r="AJ27" s="288">
        <f>MAX(TPersonnel[[#This Row],[INDEM LÉGALE]],TPersonnel[[#This Row],[INDEM CONV.]])</f>
        <v>0</v>
      </c>
      <c r="AK27" s="288">
        <f>TPersonnel[[#This Row],[INDEM RETENUE]]*'⚙️ Parametres'!$B$5</f>
        <v>0</v>
      </c>
      <c r="AL27" s="288">
        <f>TPersonnel[[#This Row],[INDEM RETENUE]]+TPersonnel[[#This Row],[Majoration PSE]]</f>
        <v>0</v>
      </c>
      <c r="AM27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7" s="288">
        <f>IF(UPPER(TPersonnel[[#This Row],[Fonction à supprimer]])="NON",0,TPersonnel[[#This Row],[Préavis Calc (mois)]]*TPersonnel[[#This Row],[Salaire Brut de référence]])</f>
        <v>0</v>
      </c>
      <c r="AO27">
        <f>IF(TPersonnel[[#This Row],[Fonction à supprimer]]="NON",0,TPersonnel[[#This Row],[Nb CP Acquis]]+TPersonnel[[#This Row],[Préavis Calc (mois)]]*2.08)</f>
        <v>0</v>
      </c>
      <c r="AP27" s="288">
        <f>TPersonnel[[#This Row],[CP Calc (jrs)]]*TPersonnel[[#This Row],[Salaire Brut de référence]]/21.67</f>
        <v>0</v>
      </c>
      <c r="AQ27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7" s="288">
        <f>TPersonnel[[#This Row],[TOTAL INDEM]]+TPersonnel[[#This Row],[Indem Préavis Brut]]+TPersonnel[[#This Row],[Indem CP]]+TPersonnel[[#This Row],[COÛT Charges Patronales]]</f>
        <v>0</v>
      </c>
    </row>
    <row r="28" spans="1:44" x14ac:dyDescent="0.45">
      <c r="A28" s="186">
        <v>2792</v>
      </c>
      <c r="B28" s="61" t="s">
        <v>45</v>
      </c>
      <c r="C28" s="6" t="s">
        <v>113</v>
      </c>
      <c r="D28" s="6" t="s">
        <v>114</v>
      </c>
      <c r="E28" s="6" t="s">
        <v>56</v>
      </c>
      <c r="F28" s="6" t="s">
        <v>115</v>
      </c>
      <c r="G28" s="6" t="s">
        <v>50</v>
      </c>
      <c r="H28" s="6" t="s">
        <v>71</v>
      </c>
      <c r="I28" s="191">
        <v>150</v>
      </c>
      <c r="J28" s="62" t="s">
        <v>88</v>
      </c>
      <c r="K28" s="7">
        <v>45222</v>
      </c>
      <c r="L28" s="7">
        <v>45222</v>
      </c>
      <c r="M28" s="7">
        <v>35704</v>
      </c>
      <c r="N28" s="9">
        <v>2800</v>
      </c>
      <c r="O28" s="9"/>
      <c r="P28" s="65">
        <v>27.58</v>
      </c>
      <c r="Q28" s="7" t="str">
        <f>IF(UPPER(B28)="OUI",'📈 Dashboard'!$B$37,"")</f>
        <v/>
      </c>
      <c r="R28" s="9">
        <f t="shared" si="0"/>
        <v>2800</v>
      </c>
      <c r="S28" s="9">
        <v>3688.2799999999997</v>
      </c>
      <c r="T28" s="8">
        <f t="shared" ca="1" si="1"/>
        <v>2.3956194387405887</v>
      </c>
      <c r="U28" s="8">
        <f t="shared" ca="1" si="2"/>
        <v>28.454483230663929</v>
      </c>
      <c r="V28" s="10">
        <f t="shared" si="3"/>
        <v>33600</v>
      </c>
      <c r="W28">
        <f t="shared" si="4"/>
        <v>2</v>
      </c>
      <c r="X28" s="8">
        <f t="shared" ca="1" si="5"/>
        <v>2.3956194387405887</v>
      </c>
      <c r="Y28" s="6"/>
      <c r="Z28" s="9"/>
      <c r="AA28" s="9"/>
      <c r="AB28" s="9"/>
      <c r="AC28" s="6"/>
      <c r="AG28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8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8" t="str">
        <f>IF(TPersonnel[[#This Row],[INDEM LÉGALE]]=0,"",IF(TPersonnel[[#This Row],[INDEM LÉGALE]]&gt;TPersonnel[[#This Row],[INDEM CONV.]],"LEGAL","CONVENTIONNEL"))</f>
        <v/>
      </c>
      <c r="AJ28" s="288">
        <f>MAX(TPersonnel[[#This Row],[INDEM LÉGALE]],TPersonnel[[#This Row],[INDEM CONV.]])</f>
        <v>0</v>
      </c>
      <c r="AK28" s="288">
        <f>TPersonnel[[#This Row],[INDEM RETENUE]]*'⚙️ Parametres'!$B$5</f>
        <v>0</v>
      </c>
      <c r="AL28" s="288">
        <f>TPersonnel[[#This Row],[INDEM RETENUE]]+TPersonnel[[#This Row],[Majoration PSE]]</f>
        <v>0</v>
      </c>
      <c r="AM28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8" s="288">
        <f>IF(UPPER(TPersonnel[[#This Row],[Fonction à supprimer]])="NON",0,TPersonnel[[#This Row],[Préavis Calc (mois)]]*TPersonnel[[#This Row],[Salaire Brut de référence]])</f>
        <v>0</v>
      </c>
      <c r="AO28">
        <f>IF(TPersonnel[[#This Row],[Fonction à supprimer]]="NON",0,TPersonnel[[#This Row],[Nb CP Acquis]]+TPersonnel[[#This Row],[Préavis Calc (mois)]]*2.08)</f>
        <v>0</v>
      </c>
      <c r="AP28" s="288">
        <f>TPersonnel[[#This Row],[CP Calc (jrs)]]*TPersonnel[[#This Row],[Salaire Brut de référence]]/21.67</f>
        <v>0</v>
      </c>
      <c r="AQ28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8" s="288">
        <f>TPersonnel[[#This Row],[TOTAL INDEM]]+TPersonnel[[#This Row],[Indem Préavis Brut]]+TPersonnel[[#This Row],[Indem CP]]+TPersonnel[[#This Row],[COÛT Charges Patronales]]</f>
        <v>0</v>
      </c>
    </row>
    <row r="29" spans="1:44" x14ac:dyDescent="0.45">
      <c r="A29" s="186">
        <v>2793</v>
      </c>
      <c r="B29" s="61" t="s">
        <v>45</v>
      </c>
      <c r="C29" s="6" t="s">
        <v>116</v>
      </c>
      <c r="D29" s="6" t="s">
        <v>117</v>
      </c>
      <c r="E29" s="6" t="s">
        <v>48</v>
      </c>
      <c r="F29" s="6" t="s">
        <v>110</v>
      </c>
      <c r="G29" s="6" t="s">
        <v>50</v>
      </c>
      <c r="H29" s="6" t="s">
        <v>51</v>
      </c>
      <c r="I29" s="190" t="s">
        <v>60</v>
      </c>
      <c r="J29" s="62" t="s">
        <v>53</v>
      </c>
      <c r="K29" s="7">
        <v>45495</v>
      </c>
      <c r="L29" s="7">
        <v>45313</v>
      </c>
      <c r="M29" s="7">
        <v>36489</v>
      </c>
      <c r="N29" s="9">
        <v>2494.92</v>
      </c>
      <c r="O29" s="9"/>
      <c r="P29" s="65">
        <v>10.08</v>
      </c>
      <c r="Q29" s="7" t="str">
        <f>IF(UPPER(B29)="OUI",'📈 Dashboard'!$B$37,"")</f>
        <v/>
      </c>
      <c r="R29" s="9">
        <f t="shared" si="0"/>
        <v>2494.92</v>
      </c>
      <c r="S29" s="9">
        <v>1198.6500000000001</v>
      </c>
      <c r="T29" s="8">
        <f t="shared" ca="1" si="1"/>
        <v>2.1464750171115674</v>
      </c>
      <c r="U29" s="8">
        <f t="shared" ca="1" si="2"/>
        <v>26.305270362765228</v>
      </c>
      <c r="V29" s="10">
        <f t="shared" si="3"/>
        <v>29939.040000000001</v>
      </c>
      <c r="W29">
        <f t="shared" ca="1" si="4"/>
        <v>2</v>
      </c>
      <c r="X29" s="8">
        <f t="shared" ca="1" si="5"/>
        <v>2.1464750171115674</v>
      </c>
      <c r="Y29" s="6"/>
      <c r="Z29" s="9"/>
      <c r="AA29" s="9"/>
      <c r="AB29" s="9"/>
      <c r="AC29" s="6"/>
      <c r="AG29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29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29" t="str">
        <f>IF(TPersonnel[[#This Row],[INDEM LÉGALE]]=0,"",IF(TPersonnel[[#This Row],[INDEM LÉGALE]]&gt;TPersonnel[[#This Row],[INDEM CONV.]],"LEGAL","CONVENTIONNEL"))</f>
        <v/>
      </c>
      <c r="AJ29" s="288">
        <f>MAX(TPersonnel[[#This Row],[INDEM LÉGALE]],TPersonnel[[#This Row],[INDEM CONV.]])</f>
        <v>0</v>
      </c>
      <c r="AK29" s="288">
        <f>TPersonnel[[#This Row],[INDEM RETENUE]]*'⚙️ Parametres'!$B$5</f>
        <v>0</v>
      </c>
      <c r="AL29" s="288">
        <f>TPersonnel[[#This Row],[INDEM RETENUE]]+TPersonnel[[#This Row],[Majoration PSE]]</f>
        <v>0</v>
      </c>
      <c r="AM29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29" s="288">
        <f>IF(UPPER(TPersonnel[[#This Row],[Fonction à supprimer]])="NON",0,TPersonnel[[#This Row],[Préavis Calc (mois)]]*TPersonnel[[#This Row],[Salaire Brut de référence]])</f>
        <v>0</v>
      </c>
      <c r="AO29">
        <f>IF(TPersonnel[[#This Row],[Fonction à supprimer]]="NON",0,TPersonnel[[#This Row],[Nb CP Acquis]]+TPersonnel[[#This Row],[Préavis Calc (mois)]]*2.08)</f>
        <v>0</v>
      </c>
      <c r="AP29" s="288">
        <f>TPersonnel[[#This Row],[CP Calc (jrs)]]*TPersonnel[[#This Row],[Salaire Brut de référence]]/21.67</f>
        <v>0</v>
      </c>
      <c r="AQ29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29" s="288">
        <f>TPersonnel[[#This Row],[TOTAL INDEM]]+TPersonnel[[#This Row],[Indem Préavis Brut]]+TPersonnel[[#This Row],[Indem CP]]+TPersonnel[[#This Row],[COÛT Charges Patronales]]</f>
        <v>0</v>
      </c>
    </row>
    <row r="30" spans="1:44" x14ac:dyDescent="0.45">
      <c r="A30" s="186">
        <v>2794</v>
      </c>
      <c r="B30" s="61" t="s">
        <v>45</v>
      </c>
      <c r="C30" s="6" t="s">
        <v>118</v>
      </c>
      <c r="D30" s="6" t="s">
        <v>65</v>
      </c>
      <c r="E30" s="6" t="s">
        <v>63</v>
      </c>
      <c r="F30" s="6" t="s">
        <v>85</v>
      </c>
      <c r="G30" s="6" t="s">
        <v>50</v>
      </c>
      <c r="H30" s="6" t="s">
        <v>51</v>
      </c>
      <c r="I30" s="190" t="s">
        <v>52</v>
      </c>
      <c r="J30" s="62" t="s">
        <v>53</v>
      </c>
      <c r="K30" s="7">
        <v>45337</v>
      </c>
      <c r="L30" s="7">
        <v>45337</v>
      </c>
      <c r="M30" s="7">
        <v>26320</v>
      </c>
      <c r="N30" s="9">
        <v>2577.89</v>
      </c>
      <c r="O30" s="9"/>
      <c r="P30" s="65">
        <v>2.08</v>
      </c>
      <c r="Q30" s="7" t="str">
        <f>IF(UPPER(B30)="OUI",'📈 Dashboard'!$B$37,"")</f>
        <v/>
      </c>
      <c r="R30" s="9">
        <f t="shared" si="0"/>
        <v>2577.89</v>
      </c>
      <c r="S30" s="9">
        <v>258.63</v>
      </c>
      <c r="T30" s="8">
        <f t="shared" ca="1" si="1"/>
        <v>2.0807665982203969</v>
      </c>
      <c r="U30" s="8">
        <f t="shared" ca="1" si="2"/>
        <v>54.14647501711157</v>
      </c>
      <c r="V30" s="10">
        <f t="shared" si="3"/>
        <v>30934.68</v>
      </c>
      <c r="W30">
        <f t="shared" ca="1" si="4"/>
        <v>2</v>
      </c>
      <c r="X30" s="8">
        <f t="shared" ca="1" si="5"/>
        <v>2.0807665982203969</v>
      </c>
      <c r="Y30" s="6"/>
      <c r="Z30" s="9"/>
      <c r="AA30" s="9"/>
      <c r="AB30" s="9"/>
      <c r="AC30" s="6"/>
      <c r="AG30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0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0" t="str">
        <f>IF(TPersonnel[[#This Row],[INDEM LÉGALE]]=0,"",IF(TPersonnel[[#This Row],[INDEM LÉGALE]]&gt;TPersonnel[[#This Row],[INDEM CONV.]],"LEGAL","CONVENTIONNEL"))</f>
        <v/>
      </c>
      <c r="AJ30" s="288">
        <f>MAX(TPersonnel[[#This Row],[INDEM LÉGALE]],TPersonnel[[#This Row],[INDEM CONV.]])</f>
        <v>0</v>
      </c>
      <c r="AK30" s="288">
        <f>TPersonnel[[#This Row],[INDEM RETENUE]]*'⚙️ Parametres'!$B$5</f>
        <v>0</v>
      </c>
      <c r="AL30" s="288">
        <f>TPersonnel[[#This Row],[INDEM RETENUE]]+TPersonnel[[#This Row],[Majoration PSE]]</f>
        <v>0</v>
      </c>
      <c r="AM30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0" s="288">
        <f>IF(UPPER(TPersonnel[[#This Row],[Fonction à supprimer]])="NON",0,TPersonnel[[#This Row],[Préavis Calc (mois)]]*TPersonnel[[#This Row],[Salaire Brut de référence]])</f>
        <v>0</v>
      </c>
      <c r="AO30">
        <f>IF(TPersonnel[[#This Row],[Fonction à supprimer]]="NON",0,TPersonnel[[#This Row],[Nb CP Acquis]]+TPersonnel[[#This Row],[Préavis Calc (mois)]]*2.08)</f>
        <v>0</v>
      </c>
      <c r="AP30" s="288">
        <f>TPersonnel[[#This Row],[CP Calc (jrs)]]*TPersonnel[[#This Row],[Salaire Brut de référence]]/21.67</f>
        <v>0</v>
      </c>
      <c r="AQ30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0" s="288">
        <f>TPersonnel[[#This Row],[TOTAL INDEM]]+TPersonnel[[#This Row],[Indem Préavis Brut]]+TPersonnel[[#This Row],[Indem CP]]+TPersonnel[[#This Row],[COÛT Charges Patronales]]</f>
        <v>0</v>
      </c>
    </row>
    <row r="31" spans="1:44" x14ac:dyDescent="0.45">
      <c r="A31" s="186">
        <v>2797</v>
      </c>
      <c r="B31" s="61" t="s">
        <v>45</v>
      </c>
      <c r="C31" s="62" t="s">
        <v>119</v>
      </c>
      <c r="D31" s="62" t="s">
        <v>120</v>
      </c>
      <c r="E31" s="6" t="s">
        <v>48</v>
      </c>
      <c r="F31" s="6" t="s">
        <v>121</v>
      </c>
      <c r="G31" s="6" t="s">
        <v>50</v>
      </c>
      <c r="H31" s="6" t="s">
        <v>99</v>
      </c>
      <c r="I31" s="191">
        <v>125</v>
      </c>
      <c r="J31" s="62" t="s">
        <v>88</v>
      </c>
      <c r="K31" s="7">
        <v>45460</v>
      </c>
      <c r="L31" s="7">
        <v>45460</v>
      </c>
      <c r="M31" s="7">
        <v>26033</v>
      </c>
      <c r="N31" s="9">
        <v>2500</v>
      </c>
      <c r="O31" s="9"/>
      <c r="P31" s="65">
        <v>8.08</v>
      </c>
      <c r="Q31" s="7" t="str">
        <f>IF(UPPER(B31)="OUI",'📈 Dashboard'!$B$37,"")</f>
        <v/>
      </c>
      <c r="R31" s="9">
        <f t="shared" si="0"/>
        <v>2500</v>
      </c>
      <c r="S31" s="9">
        <v>969.99</v>
      </c>
      <c r="T31" s="8">
        <f t="shared" ca="1" si="1"/>
        <v>1.7440109514031485</v>
      </c>
      <c r="U31" s="8">
        <f t="shared" ca="1" si="2"/>
        <v>54.932238193018478</v>
      </c>
      <c r="V31" s="10">
        <f t="shared" si="3"/>
        <v>30000</v>
      </c>
      <c r="W31">
        <f t="shared" ca="1" si="4"/>
        <v>1</v>
      </c>
      <c r="X31" s="8">
        <f t="shared" ca="1" si="5"/>
        <v>1.7440109514031485</v>
      </c>
      <c r="Y31" s="6"/>
      <c r="Z31" s="9"/>
      <c r="AA31" s="9"/>
      <c r="AB31" s="9"/>
      <c r="AC31" s="6"/>
      <c r="AG31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1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1" t="str">
        <f>IF(TPersonnel[[#This Row],[INDEM LÉGALE]]=0,"",IF(TPersonnel[[#This Row],[INDEM LÉGALE]]&gt;TPersonnel[[#This Row],[INDEM CONV.]],"LEGAL","CONVENTIONNEL"))</f>
        <v/>
      </c>
      <c r="AJ31" s="288">
        <f>MAX(TPersonnel[[#This Row],[INDEM LÉGALE]],TPersonnel[[#This Row],[INDEM CONV.]])</f>
        <v>0</v>
      </c>
      <c r="AK31" s="288">
        <f>TPersonnel[[#This Row],[INDEM RETENUE]]*'⚙️ Parametres'!$B$5</f>
        <v>0</v>
      </c>
      <c r="AL31" s="288">
        <f>TPersonnel[[#This Row],[INDEM RETENUE]]+TPersonnel[[#This Row],[Majoration PSE]]</f>
        <v>0</v>
      </c>
      <c r="AM31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1" s="288">
        <f>IF(UPPER(TPersonnel[[#This Row],[Fonction à supprimer]])="NON",0,TPersonnel[[#This Row],[Préavis Calc (mois)]]*TPersonnel[[#This Row],[Salaire Brut de référence]])</f>
        <v>0</v>
      </c>
      <c r="AO31">
        <f>IF(TPersonnel[[#This Row],[Fonction à supprimer]]="NON",0,TPersonnel[[#This Row],[Nb CP Acquis]]+TPersonnel[[#This Row],[Préavis Calc (mois)]]*2.08)</f>
        <v>0</v>
      </c>
      <c r="AP31" s="288">
        <f>TPersonnel[[#This Row],[CP Calc (jrs)]]*TPersonnel[[#This Row],[Salaire Brut de référence]]/21.67</f>
        <v>0</v>
      </c>
      <c r="AQ31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1" s="288">
        <f>TPersonnel[[#This Row],[TOTAL INDEM]]+TPersonnel[[#This Row],[Indem Préavis Brut]]+TPersonnel[[#This Row],[Indem CP]]+TPersonnel[[#This Row],[COÛT Charges Patronales]]</f>
        <v>0</v>
      </c>
    </row>
    <row r="32" spans="1:44" x14ac:dyDescent="0.45">
      <c r="A32" s="186">
        <v>2798</v>
      </c>
      <c r="B32" s="61" t="s">
        <v>45</v>
      </c>
      <c r="C32" s="6" t="s">
        <v>122</v>
      </c>
      <c r="D32" s="6" t="s">
        <v>123</v>
      </c>
      <c r="E32" s="6" t="s">
        <v>48</v>
      </c>
      <c r="F32" s="6" t="s">
        <v>124</v>
      </c>
      <c r="G32" s="6" t="s">
        <v>50</v>
      </c>
      <c r="H32" s="6" t="s">
        <v>71</v>
      </c>
      <c r="I32" s="191">
        <v>150</v>
      </c>
      <c r="J32" s="62" t="s">
        <v>53</v>
      </c>
      <c r="K32" s="7">
        <v>45474</v>
      </c>
      <c r="L32" s="7">
        <v>45474</v>
      </c>
      <c r="M32" s="7">
        <v>30315</v>
      </c>
      <c r="N32" s="9">
        <v>3527</v>
      </c>
      <c r="O32" s="9"/>
      <c r="P32" s="65">
        <v>14.58</v>
      </c>
      <c r="Q32" s="7" t="str">
        <f>IF(UPPER(B32)="OUI",'📈 Dashboard'!$B$37,"")</f>
        <v/>
      </c>
      <c r="R32" s="9">
        <f t="shared" si="0"/>
        <v>3527</v>
      </c>
      <c r="S32" s="9">
        <v>2395.5700000000002</v>
      </c>
      <c r="T32" s="8">
        <f t="shared" ca="1" si="1"/>
        <v>1.7056810403832992</v>
      </c>
      <c r="U32" s="8">
        <f t="shared" ca="1" si="2"/>
        <v>43.208761122518823</v>
      </c>
      <c r="V32" s="10">
        <f t="shared" si="3"/>
        <v>42324</v>
      </c>
      <c r="W32">
        <f t="shared" si="4"/>
        <v>2</v>
      </c>
      <c r="X32" s="8">
        <f t="shared" ca="1" si="5"/>
        <v>1.7056810403832992</v>
      </c>
      <c r="Y32" s="6"/>
      <c r="Z32" s="9"/>
      <c r="AA32" s="9"/>
      <c r="AB32" s="9"/>
      <c r="AC32" s="6"/>
      <c r="AG32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2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2" t="str">
        <f>IF(TPersonnel[[#This Row],[INDEM LÉGALE]]=0,"",IF(TPersonnel[[#This Row],[INDEM LÉGALE]]&gt;TPersonnel[[#This Row],[INDEM CONV.]],"LEGAL","CONVENTIONNEL"))</f>
        <v/>
      </c>
      <c r="AJ32" s="288">
        <f>MAX(TPersonnel[[#This Row],[INDEM LÉGALE]],TPersonnel[[#This Row],[INDEM CONV.]])</f>
        <v>0</v>
      </c>
      <c r="AK32" s="288">
        <f>TPersonnel[[#This Row],[INDEM RETENUE]]*'⚙️ Parametres'!$B$5</f>
        <v>0</v>
      </c>
      <c r="AL32" s="288">
        <f>TPersonnel[[#This Row],[INDEM RETENUE]]+TPersonnel[[#This Row],[Majoration PSE]]</f>
        <v>0</v>
      </c>
      <c r="AM32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2" s="288">
        <f>IF(UPPER(TPersonnel[[#This Row],[Fonction à supprimer]])="NON",0,TPersonnel[[#This Row],[Préavis Calc (mois)]]*TPersonnel[[#This Row],[Salaire Brut de référence]])</f>
        <v>0</v>
      </c>
      <c r="AO32">
        <f>IF(TPersonnel[[#This Row],[Fonction à supprimer]]="NON",0,TPersonnel[[#This Row],[Nb CP Acquis]]+TPersonnel[[#This Row],[Préavis Calc (mois)]]*2.08)</f>
        <v>0</v>
      </c>
      <c r="AP32" s="288">
        <f>TPersonnel[[#This Row],[CP Calc (jrs)]]*TPersonnel[[#This Row],[Salaire Brut de référence]]/21.67</f>
        <v>0</v>
      </c>
      <c r="AQ32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2" s="288">
        <f>TPersonnel[[#This Row],[TOTAL INDEM]]+TPersonnel[[#This Row],[Indem Préavis Brut]]+TPersonnel[[#This Row],[Indem CP]]+TPersonnel[[#This Row],[COÛT Charges Patronales]]</f>
        <v>0</v>
      </c>
    </row>
    <row r="33" spans="1:44" x14ac:dyDescent="0.45">
      <c r="A33" s="186">
        <v>2805</v>
      </c>
      <c r="B33" s="61" t="s">
        <v>45</v>
      </c>
      <c r="C33" s="6" t="s">
        <v>125</v>
      </c>
      <c r="D33" s="6" t="s">
        <v>126</v>
      </c>
      <c r="E33" s="6" t="s">
        <v>48</v>
      </c>
      <c r="F33" s="6" t="s">
        <v>127</v>
      </c>
      <c r="G33" s="6" t="s">
        <v>50</v>
      </c>
      <c r="H33" s="62" t="s">
        <v>128</v>
      </c>
      <c r="I33" s="191">
        <v>120</v>
      </c>
      <c r="J33" s="62" t="s">
        <v>53</v>
      </c>
      <c r="K33" s="7">
        <v>45890</v>
      </c>
      <c r="L33" s="7">
        <v>45890</v>
      </c>
      <c r="M33" s="7">
        <v>38020</v>
      </c>
      <c r="N33" s="9">
        <v>1010.72</v>
      </c>
      <c r="O33" s="9"/>
      <c r="P33" s="65">
        <v>6.59</v>
      </c>
      <c r="Q33" s="7" t="str">
        <f>IF(UPPER(B33)="OUI",'📈 Dashboard'!$B$37,"")</f>
        <v/>
      </c>
      <c r="R33" s="9">
        <f t="shared" si="0"/>
        <v>1010.72</v>
      </c>
      <c r="S33" s="9">
        <v>319.17</v>
      </c>
      <c r="T33" s="8">
        <f t="shared" ca="1" si="1"/>
        <v>0.56673511293634493</v>
      </c>
      <c r="U33" s="8">
        <f t="shared" ca="1" si="2"/>
        <v>22.113620807665981</v>
      </c>
      <c r="V33" s="10">
        <f t="shared" si="3"/>
        <v>12128.64</v>
      </c>
      <c r="W33">
        <f t="shared" si="4"/>
        <v>2</v>
      </c>
      <c r="X33" s="8">
        <f t="shared" ca="1" si="5"/>
        <v>0.56673511293634493</v>
      </c>
      <c r="Y33" s="6"/>
      <c r="Z33" s="9"/>
      <c r="AA33" s="9"/>
      <c r="AB33" s="9"/>
      <c r="AC33" s="6"/>
      <c r="AG33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3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3" t="str">
        <f>IF(TPersonnel[[#This Row],[INDEM LÉGALE]]=0,"",IF(TPersonnel[[#This Row],[INDEM LÉGALE]]&gt;TPersonnel[[#This Row],[INDEM CONV.]],"LEGAL","CONVENTIONNEL"))</f>
        <v/>
      </c>
      <c r="AJ33" s="288">
        <f>MAX(TPersonnel[[#This Row],[INDEM LÉGALE]],TPersonnel[[#This Row],[INDEM CONV.]])</f>
        <v>0</v>
      </c>
      <c r="AK33" s="288">
        <f>TPersonnel[[#This Row],[INDEM RETENUE]]*'⚙️ Parametres'!$B$5</f>
        <v>0</v>
      </c>
      <c r="AL33" s="288">
        <f>TPersonnel[[#This Row],[INDEM RETENUE]]+TPersonnel[[#This Row],[Majoration PSE]]</f>
        <v>0</v>
      </c>
      <c r="AM33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3" s="288">
        <f>IF(UPPER(TPersonnel[[#This Row],[Fonction à supprimer]])="NON",0,TPersonnel[[#This Row],[Préavis Calc (mois)]]*TPersonnel[[#This Row],[Salaire Brut de référence]])</f>
        <v>0</v>
      </c>
      <c r="AO33">
        <f>IF(TPersonnel[[#This Row],[Fonction à supprimer]]="NON",0,TPersonnel[[#This Row],[Nb CP Acquis]]+TPersonnel[[#This Row],[Préavis Calc (mois)]]*2.08)</f>
        <v>0</v>
      </c>
      <c r="AP33" s="288">
        <f>TPersonnel[[#This Row],[CP Calc (jrs)]]*TPersonnel[[#This Row],[Salaire Brut de référence]]/21.67</f>
        <v>0</v>
      </c>
      <c r="AQ33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3" s="288">
        <f>TPersonnel[[#This Row],[TOTAL INDEM]]+TPersonnel[[#This Row],[Indem Préavis Brut]]+TPersonnel[[#This Row],[Indem CP]]+TPersonnel[[#This Row],[COÛT Charges Patronales]]</f>
        <v>0</v>
      </c>
    </row>
    <row r="34" spans="1:44" x14ac:dyDescent="0.45">
      <c r="A34" s="186">
        <v>2806</v>
      </c>
      <c r="B34" s="61" t="s">
        <v>45</v>
      </c>
      <c r="C34" s="6" t="s">
        <v>129</v>
      </c>
      <c r="D34" s="6" t="s">
        <v>130</v>
      </c>
      <c r="E34" s="6" t="s">
        <v>48</v>
      </c>
      <c r="F34" s="6" t="s">
        <v>131</v>
      </c>
      <c r="G34" s="6" t="s">
        <v>50</v>
      </c>
      <c r="H34" s="62" t="s">
        <v>128</v>
      </c>
      <c r="I34" s="191">
        <v>120</v>
      </c>
      <c r="J34" s="62" t="s">
        <v>88</v>
      </c>
      <c r="K34" s="7">
        <v>45901</v>
      </c>
      <c r="L34" s="7">
        <v>45901</v>
      </c>
      <c r="M34" s="7">
        <v>38216</v>
      </c>
      <c r="N34" s="9">
        <v>1010.72</v>
      </c>
      <c r="O34" s="9"/>
      <c r="P34" s="65">
        <v>6.32</v>
      </c>
      <c r="Q34" s="7" t="str">
        <f>IF(UPPER(B34)="OUI",'📈 Dashboard'!$B$37,"")</f>
        <v/>
      </c>
      <c r="R34" s="9">
        <f t="shared" si="0"/>
        <v>1010.72</v>
      </c>
      <c r="S34" s="9">
        <v>306.89999999999998</v>
      </c>
      <c r="T34" s="8">
        <f t="shared" ca="1" si="1"/>
        <v>0.53661875427789185</v>
      </c>
      <c r="U34" s="8">
        <f t="shared" ca="1" si="2"/>
        <v>21.577002053388089</v>
      </c>
      <c r="V34" s="10">
        <f t="shared" si="3"/>
        <v>12128.64</v>
      </c>
      <c r="W34">
        <f t="shared" si="4"/>
        <v>2</v>
      </c>
      <c r="X34" s="8">
        <f t="shared" ca="1" si="5"/>
        <v>0.53661875427789185</v>
      </c>
      <c r="Y34" s="6"/>
      <c r="Z34" s="9"/>
      <c r="AA34" s="9"/>
      <c r="AB34" s="9"/>
      <c r="AC34" s="6"/>
      <c r="AG34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4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4" t="str">
        <f>IF(TPersonnel[[#This Row],[INDEM LÉGALE]]=0,"",IF(TPersonnel[[#This Row],[INDEM LÉGALE]]&gt;TPersonnel[[#This Row],[INDEM CONV.]],"LEGAL","CONVENTIONNEL"))</f>
        <v/>
      </c>
      <c r="AJ34" s="288">
        <f>MAX(TPersonnel[[#This Row],[INDEM LÉGALE]],TPersonnel[[#This Row],[INDEM CONV.]])</f>
        <v>0</v>
      </c>
      <c r="AK34" s="288">
        <f>TPersonnel[[#This Row],[INDEM RETENUE]]*'⚙️ Parametres'!$B$5</f>
        <v>0</v>
      </c>
      <c r="AL34" s="288">
        <f>TPersonnel[[#This Row],[INDEM RETENUE]]+TPersonnel[[#This Row],[Majoration PSE]]</f>
        <v>0</v>
      </c>
      <c r="AM34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4" s="288">
        <f>IF(UPPER(TPersonnel[[#This Row],[Fonction à supprimer]])="NON",0,TPersonnel[[#This Row],[Préavis Calc (mois)]]*TPersonnel[[#This Row],[Salaire Brut de référence]])</f>
        <v>0</v>
      </c>
      <c r="AO34">
        <f>IF(TPersonnel[[#This Row],[Fonction à supprimer]]="NON",0,TPersonnel[[#This Row],[Nb CP Acquis]]+TPersonnel[[#This Row],[Préavis Calc (mois)]]*2.08)</f>
        <v>0</v>
      </c>
      <c r="AP34" s="288">
        <f>TPersonnel[[#This Row],[CP Calc (jrs)]]*TPersonnel[[#This Row],[Salaire Brut de référence]]/21.67</f>
        <v>0</v>
      </c>
      <c r="AQ34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4" s="288">
        <f>TPersonnel[[#This Row],[TOTAL INDEM]]+TPersonnel[[#This Row],[Indem Préavis Brut]]+TPersonnel[[#This Row],[Indem CP]]+TPersonnel[[#This Row],[COÛT Charges Patronales]]</f>
        <v>0</v>
      </c>
    </row>
    <row r="35" spans="1:44" x14ac:dyDescent="0.45">
      <c r="A35" s="186">
        <v>2807</v>
      </c>
      <c r="B35" s="61" t="s">
        <v>45</v>
      </c>
      <c r="C35" s="6" t="s">
        <v>132</v>
      </c>
      <c r="D35" s="6" t="s">
        <v>133</v>
      </c>
      <c r="E35" s="6" t="s">
        <v>48</v>
      </c>
      <c r="F35" s="6" t="s">
        <v>85</v>
      </c>
      <c r="G35" s="6" t="s">
        <v>50</v>
      </c>
      <c r="H35" s="6" t="s">
        <v>51</v>
      </c>
      <c r="I35" s="190" t="s">
        <v>52</v>
      </c>
      <c r="J35" s="62" t="s">
        <v>53</v>
      </c>
      <c r="K35" s="7">
        <v>44515</v>
      </c>
      <c r="L35" s="7">
        <v>44515</v>
      </c>
      <c r="M35" s="7">
        <v>27685</v>
      </c>
      <c r="N35" s="9">
        <v>3565.23</v>
      </c>
      <c r="O35" s="9"/>
      <c r="P35" s="65">
        <v>11.09</v>
      </c>
      <c r="Q35" s="7" t="str">
        <f>IF(UPPER(B35)="OUI",'📈 Dashboard'!$B$37,"")</f>
        <v/>
      </c>
      <c r="R35" s="9">
        <f t="shared" si="0"/>
        <v>3565.23</v>
      </c>
      <c r="S35" s="9">
        <v>1545.95</v>
      </c>
      <c r="T35" s="8">
        <f t="shared" ca="1" si="1"/>
        <v>4.3312799452429847</v>
      </c>
      <c r="U35" s="8">
        <f t="shared" ca="1" si="2"/>
        <v>50.409308692676248</v>
      </c>
      <c r="V35" s="10">
        <f t="shared" si="3"/>
        <v>42782.76</v>
      </c>
      <c r="W35">
        <f t="shared" ca="1" si="4"/>
        <v>2</v>
      </c>
      <c r="X35" s="8">
        <f t="shared" ca="1" si="5"/>
        <v>4.3312799452429847</v>
      </c>
      <c r="Y35" s="6"/>
      <c r="Z35" s="9"/>
      <c r="AA35" s="9"/>
      <c r="AB35" s="9"/>
      <c r="AC35" s="6"/>
      <c r="AG35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5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5" t="str">
        <f>IF(TPersonnel[[#This Row],[INDEM LÉGALE]]=0,"",IF(TPersonnel[[#This Row],[INDEM LÉGALE]]&gt;TPersonnel[[#This Row],[INDEM CONV.]],"LEGAL","CONVENTIONNEL"))</f>
        <v/>
      </c>
      <c r="AJ35" s="288">
        <f>MAX(TPersonnel[[#This Row],[INDEM LÉGALE]],TPersonnel[[#This Row],[INDEM CONV.]])</f>
        <v>0</v>
      </c>
      <c r="AK35" s="288">
        <f>TPersonnel[[#This Row],[INDEM RETENUE]]*'⚙️ Parametres'!$B$5</f>
        <v>0</v>
      </c>
      <c r="AL35" s="288">
        <f>TPersonnel[[#This Row],[INDEM RETENUE]]+TPersonnel[[#This Row],[Majoration PSE]]</f>
        <v>0</v>
      </c>
      <c r="AM35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5" s="288">
        <f>IF(UPPER(TPersonnel[[#This Row],[Fonction à supprimer]])="NON",0,TPersonnel[[#This Row],[Préavis Calc (mois)]]*TPersonnel[[#This Row],[Salaire Brut de référence]])</f>
        <v>0</v>
      </c>
      <c r="AO35">
        <f>IF(TPersonnel[[#This Row],[Fonction à supprimer]]="NON",0,TPersonnel[[#This Row],[Nb CP Acquis]]+TPersonnel[[#This Row],[Préavis Calc (mois)]]*2.08)</f>
        <v>0</v>
      </c>
      <c r="AP35" s="288">
        <f>TPersonnel[[#This Row],[CP Calc (jrs)]]*TPersonnel[[#This Row],[Salaire Brut de référence]]/21.67</f>
        <v>0</v>
      </c>
      <c r="AQ35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5" s="288">
        <f>TPersonnel[[#This Row],[TOTAL INDEM]]+TPersonnel[[#This Row],[Indem Préavis Brut]]+TPersonnel[[#This Row],[Indem CP]]+TPersonnel[[#This Row],[COÛT Charges Patronales]]</f>
        <v>0</v>
      </c>
    </row>
    <row r="36" spans="1:44" x14ac:dyDescent="0.45">
      <c r="A36" s="186">
        <v>2808</v>
      </c>
      <c r="B36" s="61" t="s">
        <v>45</v>
      </c>
      <c r="C36" s="6" t="s">
        <v>134</v>
      </c>
      <c r="D36" s="6" t="s">
        <v>135</v>
      </c>
      <c r="E36" s="6" t="s">
        <v>48</v>
      </c>
      <c r="F36" s="6" t="s">
        <v>136</v>
      </c>
      <c r="G36" s="6" t="s">
        <v>50</v>
      </c>
      <c r="H36" s="6" t="s">
        <v>71</v>
      </c>
      <c r="I36" s="191">
        <v>150</v>
      </c>
      <c r="J36" s="62" t="s">
        <v>88</v>
      </c>
      <c r="K36" s="7">
        <v>45901</v>
      </c>
      <c r="L36" s="7">
        <v>45901</v>
      </c>
      <c r="M36" s="7">
        <v>26424</v>
      </c>
      <c r="N36" s="9">
        <v>2852</v>
      </c>
      <c r="O36" s="9"/>
      <c r="P36" s="65">
        <v>7.26</v>
      </c>
      <c r="Q36" s="7" t="str">
        <f>IF(UPPER(B36)="OUI",'📈 Dashboard'!$B$37,"")</f>
        <v/>
      </c>
      <c r="R36" s="9">
        <f t="shared" si="0"/>
        <v>2852</v>
      </c>
      <c r="S36" s="9">
        <v>994.7</v>
      </c>
      <c r="T36" s="8">
        <f t="shared" ca="1" si="1"/>
        <v>0.53661875427789185</v>
      </c>
      <c r="U36" s="8">
        <f t="shared" ca="1" si="2"/>
        <v>53.861738535249827</v>
      </c>
      <c r="V36" s="10">
        <f t="shared" si="3"/>
        <v>34224</v>
      </c>
      <c r="W36">
        <f t="shared" si="4"/>
        <v>2</v>
      </c>
      <c r="X36" s="8">
        <f t="shared" ca="1" si="5"/>
        <v>0.53661875427789185</v>
      </c>
      <c r="Y36" s="6"/>
      <c r="Z36" s="9"/>
      <c r="AA36" s="9"/>
      <c r="AB36" s="9"/>
      <c r="AC36" s="6"/>
      <c r="AG36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6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6" t="str">
        <f>IF(TPersonnel[[#This Row],[INDEM LÉGALE]]=0,"",IF(TPersonnel[[#This Row],[INDEM LÉGALE]]&gt;TPersonnel[[#This Row],[INDEM CONV.]],"LEGAL","CONVENTIONNEL"))</f>
        <v/>
      </c>
      <c r="AJ36" s="288">
        <f>MAX(TPersonnel[[#This Row],[INDEM LÉGALE]],TPersonnel[[#This Row],[INDEM CONV.]])</f>
        <v>0</v>
      </c>
      <c r="AK36" s="288">
        <f>TPersonnel[[#This Row],[INDEM RETENUE]]*'⚙️ Parametres'!$B$5</f>
        <v>0</v>
      </c>
      <c r="AL36" s="288">
        <f>TPersonnel[[#This Row],[INDEM RETENUE]]+TPersonnel[[#This Row],[Majoration PSE]]</f>
        <v>0</v>
      </c>
      <c r="AM36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6" s="288">
        <f>IF(UPPER(TPersonnel[[#This Row],[Fonction à supprimer]])="NON",0,TPersonnel[[#This Row],[Préavis Calc (mois)]]*TPersonnel[[#This Row],[Salaire Brut de référence]])</f>
        <v>0</v>
      </c>
      <c r="AO36">
        <f>IF(TPersonnel[[#This Row],[Fonction à supprimer]]="NON",0,TPersonnel[[#This Row],[Nb CP Acquis]]+TPersonnel[[#This Row],[Préavis Calc (mois)]]*2.08)</f>
        <v>0</v>
      </c>
      <c r="AP36" s="288">
        <f>TPersonnel[[#This Row],[CP Calc (jrs)]]*TPersonnel[[#This Row],[Salaire Brut de référence]]/21.67</f>
        <v>0</v>
      </c>
      <c r="AQ36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6" s="288">
        <f>TPersonnel[[#This Row],[TOTAL INDEM]]+TPersonnel[[#This Row],[Indem Préavis Brut]]+TPersonnel[[#This Row],[Indem CP]]+TPersonnel[[#This Row],[COÛT Charges Patronales]]</f>
        <v>0</v>
      </c>
    </row>
    <row r="37" spans="1:44" x14ac:dyDescent="0.45">
      <c r="A37" s="186">
        <v>2809</v>
      </c>
      <c r="B37" s="61" t="s">
        <v>45</v>
      </c>
      <c r="C37" s="6" t="s">
        <v>137</v>
      </c>
      <c r="D37" s="6" t="s">
        <v>138</v>
      </c>
      <c r="E37" s="6" t="s">
        <v>48</v>
      </c>
      <c r="F37" s="6" t="s">
        <v>98</v>
      </c>
      <c r="G37" s="6" t="s">
        <v>50</v>
      </c>
      <c r="H37" s="6" t="s">
        <v>71</v>
      </c>
      <c r="I37" s="191">
        <v>150</v>
      </c>
      <c r="J37" s="62" t="s">
        <v>53</v>
      </c>
      <c r="K37" s="7">
        <v>45931</v>
      </c>
      <c r="L37" s="7">
        <v>45931</v>
      </c>
      <c r="M37" s="7">
        <v>26156</v>
      </c>
      <c r="N37" s="9">
        <v>3000</v>
      </c>
      <c r="O37" s="9"/>
      <c r="P37" s="65">
        <v>5.25</v>
      </c>
      <c r="Q37" s="7" t="str">
        <f>IF(UPPER(B37)="OUI",'📈 Dashboard'!$B$37,"")</f>
        <v/>
      </c>
      <c r="R37" s="9">
        <f t="shared" si="0"/>
        <v>3000</v>
      </c>
      <c r="S37" s="9">
        <v>756</v>
      </c>
      <c r="T37" s="8">
        <f t="shared" ca="1" si="1"/>
        <v>0.45448323066392882</v>
      </c>
      <c r="U37" s="8">
        <f t="shared" ca="1" si="2"/>
        <v>54.595482546201232</v>
      </c>
      <c r="V37" s="10">
        <f t="shared" si="3"/>
        <v>36000</v>
      </c>
      <c r="W37">
        <f t="shared" si="4"/>
        <v>2</v>
      </c>
      <c r="X37" s="8">
        <f t="shared" ca="1" si="5"/>
        <v>0.45448323066392882</v>
      </c>
      <c r="Y37" s="6"/>
      <c r="Z37" s="9"/>
      <c r="AA37" s="9"/>
      <c r="AB37" s="9"/>
      <c r="AC37" s="6"/>
      <c r="AG37" s="288">
        <f>IF(TPersonnel[[#This Row],[Fonction à supprimer]]="NON",0,IF(TPersonnel[[#This Row],[Ancienneté (ans) à la date théorique de sortie]]&lt;0.67,0,IF(TPersonnel[[#This Row],[Ancienneté (ans) à la date théorique de sortie]]&lt;=10,TPersonnel[[#This Row],[Ancienneté (ans) à la date théorique de sortie]]*TPersonnel[[#This Row],[Salaire Brut de référence]]/4,(10*TPersonnel[[#This Row],[Salaire Brut de référence]]/4+(TPersonnel[[#This Row],[Ancienneté (ans) à la date théorique de sortie]]-10)*TPersonnel[[#This Row],[Salaire Brut de référence]]/3))))</f>
        <v>0</v>
      </c>
      <c r="AH37" s="288">
        <f>IF(UPPER(TPersonnel[[#This Row],[Fonction à supprimer]])="NON",0,IF(TPersonnel[[#This Row],[Ancienneté (ans) à la date théorique de sortie]]&lt;1,0,IF(OR(TPersonnel[[#This Row],[Catégorie]]="Ouvrier",TPersonnel[[#This Row],[Catégorie]]="Employe",TPersonnel[[#This Row],[Catégorie]]="Employé"),IF(TPersonnel[[#This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référence]]*2/10),IF(OR(TPersonnel[[#This Row],[Catégorie]]="Agent Maitrise",TPersonnel[[#This Row],[Catégorie]]="Agent de maitrise",TPersonnel[[#This Row],[Catégorie]]="Haute maitrise"),IF(TPersonnel[[#This Row],[Ancienneté (ans) à la date théorique de sortie]]&lt;3,TPersonnel[[#This Row],[Ancienneté (ans) à la date théorique de sortie]]*TPersonnel[[#This Row],[Salaire Brut de référence]]/10,TPersonnel[[#This Row],[Ancienneté (ans) à la date théorique de sortie]]*TPersonnel[[#This Row],[Salaire Brut de référence]]*3/10),IF(TPersonnel[[#This Row],[Catégorie]]="Cadre",IF(TPersonnel[[#This Row],[Ancienneté (ans) à la date théorique de sortie]]&lt;3,0,TPersonnel[[#This Row],[Ancienneté (ans) à la date théorique de sortie]]*TPersonnel[[#This Row],[Salaire Brut de référence]]*4/10),0)))))</f>
        <v>0</v>
      </c>
      <c r="AI37" t="str">
        <f>IF(TPersonnel[[#This Row],[INDEM LÉGALE]]=0,"",IF(TPersonnel[[#This Row],[INDEM LÉGALE]]&gt;TPersonnel[[#This Row],[INDEM CONV.]],"LEGAL","CONVENTIONNEL"))</f>
        <v/>
      </c>
      <c r="AJ37" s="288">
        <f>MAX(TPersonnel[[#This Row],[INDEM LÉGALE]],TPersonnel[[#This Row],[INDEM CONV.]])</f>
        <v>0</v>
      </c>
      <c r="AK37" s="288">
        <f>TPersonnel[[#This Row],[INDEM RETENUE]]*'⚙️ Parametres'!$B$5</f>
        <v>0</v>
      </c>
      <c r="AL37" s="288">
        <f>TPersonnel[[#This Row],[INDEM RETENUE]]+TPersonnel[[#This Row],[Majoration PSE]]</f>
        <v>0</v>
      </c>
      <c r="AM37">
        <f>IF(UPPER(TPersonnel[[#This Row],[Fonction à supprimer]])="NON",0,IF(OR(TPersonnel[[#This Row],[Catégorie]]="Cadre"),3,IF(TPersonnel[[#This Row],[Catégorie]]="Haute maitrise",2,IF(OR(TPersonnel[[#This Row],[Catégorie]]="Agent Maitrise",TPersonnel[[#This Row],[Catégorie]]="Agent de maitrise"),IF(TPersonnel[[#This Row],[Ancienneté (ans) à la date théorique de sortie]]&lt;2/12,0,IF(TPersonnel[[#This Row],[Ancienneté (ans) à la date théorique de sortie]]&lt;2,1,2)),IF(OR(TPersonnel[[#This Row],[Catégorie]]="Ouvrier",TPersonnel[[#This Row],[Catégorie]]="Employe",TPersonnel[[#This Row],[Catégorie]]="Employé"),IF(TPersonnel[[#This Row],[Ancienneté (ans) à la date théorique de sortie]]&lt;6/12,IF(TPersonnel[[#This Row],[Catégorie]]="Ouvrier",1/4,IF(TPersonnel[[#This Row],[Ancienneté (ans) à la date théorique de sortie]]&lt;1/12,0,1)),IF(TPersonnel[[#This Row],[Ancienneté (ans) à la date théorique de sortie]]&lt;2,1,2)),2)))))</f>
        <v>0</v>
      </c>
      <c r="AN37" s="288">
        <f>IF(UPPER(TPersonnel[[#This Row],[Fonction à supprimer]])="NON",0,TPersonnel[[#This Row],[Préavis Calc (mois)]]*TPersonnel[[#This Row],[Salaire Brut de référence]])</f>
        <v>0</v>
      </c>
      <c r="AO37">
        <f>IF(TPersonnel[[#This Row],[Fonction à supprimer]]="NON",0,TPersonnel[[#This Row],[Nb CP Acquis]]+TPersonnel[[#This Row],[Préavis Calc (mois)]]*2.08)</f>
        <v>0</v>
      </c>
      <c r="AP37" s="288">
        <f>TPersonnel[[#This Row],[CP Calc (jrs)]]*TPersonnel[[#This Row],[Salaire Brut de référence]]/21.67</f>
        <v>0</v>
      </c>
      <c r="AQ37">
        <f>IF(UPPER(TPersonnel[[#This Row],[Fonction à supprimer]])="NON",0,_xlfn.LET(_xlpm.taux,IF(TPersonnel[[#This Row],[Catégorie]]="Ouvrier",'📈 Dashboard'!$B$32,IF(TPersonnel[[#This Row],[Catégorie]]="Cadre",'📈 Dashboard'!$B$34,'📈 Dashboard'!$B$33)),_xlpm.csp,UPPER(TPersonnel[[#This Row],[CSP (contrat de sécurisation professionnel)]])="OUI",IF(AND(_xlpm.csp,TPersonnel[[#This Row],[Ancienneté (ans) à la date théorique de sortie]]&gt;=1),MIN(TPersonnel[[#This Row],[Préavis Calc (mois)]],3)*TPersonnel[[#This Row],[Salaire Brut de référence]]*(_xlpm.taux+'⚙️ Parametres'!$B$11)+IF(TPersonnel[[#This Row],[Préavis Calc (mois)]]&gt;3,(TPersonnel[[#This Row],[Préavis Calc (mois)]]-3)*TPersonnel[[#This Row],[Salaire Brut de référence]]*_xlpm.taux,0)+TPersonnel[[#This Row],[Indem CP]]*_xlpm.taux,IF(_xlpm.csp,TPersonnel[[#This Row],[Indem CP]]*_xlpm.taux,(TPersonnel[[#This Row],[Indem Préavis Brut]]+TPersonnel[[#This Row],[Indem CP]])*_xlpm.taux))))</f>
        <v>0</v>
      </c>
      <c r="AR37" s="288">
        <f>TPersonnel[[#This Row],[TOTAL INDEM]]+TPersonnel[[#This Row],[Indem Préavis Brut]]+TPersonnel[[#This Row],[Indem CP]]+TPersonnel[[#This Row],[COÛT Charges Patronales]]</f>
        <v>0</v>
      </c>
    </row>
    <row r="38" spans="1:44" x14ac:dyDescent="0.45">
      <c r="A38" s="186"/>
      <c r="B38" s="61"/>
      <c r="C38" s="6"/>
      <c r="D38" s="6"/>
      <c r="E38" s="6"/>
      <c r="F38" s="6"/>
      <c r="G38" s="6"/>
      <c r="H38" s="6"/>
      <c r="I38" s="191"/>
      <c r="J38" s="62"/>
      <c r="K38" s="7"/>
      <c r="L38" s="7"/>
      <c r="M38" s="7"/>
      <c r="N38" s="9"/>
      <c r="O38" s="9"/>
      <c r="P38" s="65"/>
      <c r="Q38" s="7"/>
      <c r="R38" s="9"/>
      <c r="S38" s="9"/>
      <c r="T38" s="8"/>
      <c r="U38" s="8"/>
      <c r="V38" s="10"/>
      <c r="X38" s="8"/>
      <c r="Y38" s="6"/>
      <c r="Z38" s="9"/>
      <c r="AA38" s="9"/>
      <c r="AB38" s="9"/>
      <c r="AC38" s="6"/>
    </row>
    <row r="39" spans="1:44" x14ac:dyDescent="0.45">
      <c r="A39" s="186"/>
      <c r="B39" s="61"/>
      <c r="C39" s="6"/>
      <c r="D39" s="6"/>
      <c r="E39" s="6"/>
      <c r="F39" s="6"/>
      <c r="G39" s="6"/>
      <c r="H39" s="6"/>
      <c r="I39" s="191"/>
      <c r="J39" s="62"/>
      <c r="K39" s="7"/>
      <c r="L39" s="7"/>
      <c r="M39" s="7"/>
      <c r="N39" s="9"/>
      <c r="O39" s="9"/>
      <c r="P39" s="65"/>
      <c r="Q39" s="7"/>
      <c r="R39" s="9"/>
      <c r="S39" s="9"/>
      <c r="T39" s="8"/>
      <c r="U39" s="8"/>
      <c r="V39" s="10"/>
      <c r="X39" s="8"/>
      <c r="Y39" s="6"/>
      <c r="Z39" s="9"/>
      <c r="AA39" s="9"/>
      <c r="AB39" s="9"/>
      <c r="AC39" s="6"/>
    </row>
    <row r="40" spans="1:44" x14ac:dyDescent="0.45">
      <c r="N40">
        <v>90271.17</v>
      </c>
    </row>
  </sheetData>
  <conditionalFormatting sqref="A4:A39">
    <cfRule type="containsText" dxfId="10" priority="1" operator="containsText" text="Non">
      <formula>NOT(ISERROR(SEARCH("Non",A4)))</formula>
    </cfRule>
    <cfRule type="containsText" dxfId="9" priority="2" operator="containsText" text="Oui">
      <formula>NOT(ISERROR(SEARCH("Oui",A4)))</formula>
    </cfRule>
  </conditionalFormatting>
  <conditionalFormatting sqref="B1:B1048576">
    <cfRule type="containsText" dxfId="8" priority="3" operator="containsText" text="Non">
      <formula>NOT(ISERROR(SEARCH("Non",B1)))</formula>
    </cfRule>
    <cfRule type="containsText" dxfId="7" priority="4" operator="containsText" text="Oui">
      <formula>NOT(ISERROR(SEARCH("Oui",B1)))</formula>
    </cfRule>
  </conditionalFormatting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8A66CD-6940-4D5D-9885-F364E93BDC7D}">
          <x14:formula1>
            <xm:f>'⚙️ Parametres'!$H$4:$H$5</xm:f>
          </x14:formula1>
          <xm:sqref>AC4:AC1048576 B4:B1048576</xm:sqref>
        </x14:dataValidation>
        <x14:dataValidation type="list" allowBlank="1" showInputMessage="1" showErrorMessage="1" xr:uid="{8ABC3B02-23EF-4460-9FAC-FBC0B9E49ADE}">
          <x14:formula1>
            <xm:f>'⚙️ Parametres'!$H$8:$H$10</xm:f>
          </x14:formula1>
          <xm:sqref>G4:G1048576</xm:sqref>
        </x14:dataValidation>
        <x14:dataValidation type="list" allowBlank="1" showInputMessage="1" showErrorMessage="1" xr:uid="{85FDAFCE-8A4E-4675-82AE-B85562778E55}">
          <x14:formula1>
            <xm:f>'⚙️ Parametres'!$H$4</xm:f>
          </x14:formula1>
          <xm:sqref>AF4:AF1048576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5"/>
  <sheetViews>
    <sheetView showGridLines="0" zoomScale="70" zoomScaleNormal="70" workbookViewId="0">
      <selection activeCell="F25" sqref="F25"/>
    </sheetView>
  </sheetViews>
  <sheetFormatPr baseColWidth="10" defaultColWidth="9" defaultRowHeight="14.25" outlineLevelCol="1" x14ac:dyDescent="0.45"/>
  <cols>
    <col min="1" max="1" width="40.86328125" customWidth="1"/>
    <col min="2" max="2" width="17.86328125" customWidth="1"/>
    <col min="3" max="4" width="15.1328125" customWidth="1"/>
    <col min="5" max="5" width="22" customWidth="1"/>
    <col min="6" max="6" width="26.73046875" customWidth="1"/>
    <col min="7" max="7" width="22.59765625" bestFit="1" customWidth="1"/>
    <col min="8" max="8" width="21.86328125" bestFit="1" customWidth="1"/>
    <col min="9" max="9" width="15" customWidth="1"/>
    <col min="10" max="13" width="15.1328125" customWidth="1"/>
    <col min="14" max="15" width="17.86328125" bestFit="1" customWidth="1"/>
    <col min="17" max="17" width="11.3984375" bestFit="1" customWidth="1"/>
    <col min="18" max="18" width="12.1328125" bestFit="1" customWidth="1"/>
    <col min="19" max="19" width="10" bestFit="1" customWidth="1"/>
    <col min="20" max="20" width="10.73046875" bestFit="1" customWidth="1"/>
    <col min="22" max="26" width="9" style="285" customWidth="1" outlineLevel="1"/>
    <col min="27" max="27" width="12.86328125" style="285" customWidth="1" outlineLevel="1"/>
    <col min="28" max="28" width="11.1328125" style="285" customWidth="1" outlineLevel="1"/>
    <col min="29" max="29" width="12.3984375" style="285" customWidth="1" outlineLevel="1"/>
    <col min="30" max="33" width="9" style="285" customWidth="1" outlineLevel="1"/>
    <col min="34" max="34" width="9" style="285"/>
  </cols>
  <sheetData>
    <row r="1" spans="1:34" ht="23.25" x14ac:dyDescent="0.7">
      <c r="A1" s="353" t="s">
        <v>139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V1" s="283" t="s">
        <v>5</v>
      </c>
      <c r="W1" s="283" t="s">
        <v>140</v>
      </c>
      <c r="X1" s="283" t="s">
        <v>141</v>
      </c>
      <c r="Y1" s="284"/>
      <c r="Z1" s="284"/>
      <c r="AA1" s="283" t="s">
        <v>8</v>
      </c>
      <c r="AB1" s="283" t="s">
        <v>140</v>
      </c>
      <c r="AC1" s="283" t="s">
        <v>141</v>
      </c>
      <c r="AD1" s="284"/>
      <c r="AE1" s="283" t="s">
        <v>142</v>
      </c>
      <c r="AF1" s="283" t="s">
        <v>143</v>
      </c>
      <c r="AG1" s="283" t="s">
        <v>144</v>
      </c>
      <c r="AH1" s="286"/>
    </row>
    <row r="2" spans="1:34" x14ac:dyDescent="0.45">
      <c r="V2" s="284" t="str">
        <f t="shared" ref="V2:X4" si="0">A9</f>
        <v>PUSIGNAN</v>
      </c>
      <c r="W2" s="284">
        <f t="shared" si="0"/>
        <v>13</v>
      </c>
      <c r="X2" s="284">
        <f t="shared" si="0"/>
        <v>0</v>
      </c>
      <c r="Y2" s="284"/>
      <c r="Z2" s="284"/>
      <c r="AA2" s="284" t="str">
        <f>IFERROR(INDEX(_xlfn.ANCHORARRAY('⚙️ Parametres'!$K$3),1),"")</f>
        <v>Agent de maîtrise</v>
      </c>
      <c r="AB2" s="284">
        <f>IF(AA2="","",COUNTIF(TPersonnel[Catégorie],AA2))</f>
        <v>6</v>
      </c>
      <c r="AC2" s="284" cm="1">
        <f t="array" ref="AC2">IF(AA2="","",SUMPRODUCT((UPPER(TPersonnel[Fonction à supprimer])="OUI")*(TPersonnel[Catégorie]=AA2)))</f>
        <v>0</v>
      </c>
      <c r="AD2" s="284"/>
      <c r="AE2" s="284" t="s">
        <v>50</v>
      </c>
      <c r="AF2" s="284">
        <f>B17</f>
        <v>34</v>
      </c>
      <c r="AG2" s="284">
        <f>C17</f>
        <v>0</v>
      </c>
    </row>
    <row r="3" spans="1:34" ht="14.65" thickBot="1" x14ac:dyDescent="0.5">
      <c r="A3" s="67" t="s">
        <v>140</v>
      </c>
      <c r="B3" s="68" t="s">
        <v>144</v>
      </c>
      <c r="C3" s="69" t="s">
        <v>145</v>
      </c>
      <c r="D3" s="70" t="s">
        <v>146</v>
      </c>
      <c r="F3" s="67" t="s">
        <v>147</v>
      </c>
      <c r="G3" s="69" t="s">
        <v>148</v>
      </c>
      <c r="H3" s="70" t="s">
        <v>149</v>
      </c>
      <c r="J3" s="68" t="s">
        <v>150</v>
      </c>
      <c r="K3" s="68" t="s">
        <v>151</v>
      </c>
      <c r="L3" s="68" t="s">
        <v>152</v>
      </c>
      <c r="M3" s="71" t="s">
        <v>153</v>
      </c>
      <c r="N3" s="70" t="s">
        <v>154</v>
      </c>
      <c r="Q3" s="67" t="s">
        <v>155</v>
      </c>
      <c r="R3" s="67" t="s">
        <v>156</v>
      </c>
      <c r="S3" s="67" t="s">
        <v>157</v>
      </c>
      <c r="T3" s="67" t="s">
        <v>158</v>
      </c>
      <c r="V3" s="284" t="str">
        <f t="shared" si="0"/>
        <v>ROGNAC</v>
      </c>
      <c r="W3" s="284">
        <f t="shared" si="0"/>
        <v>6</v>
      </c>
      <c r="X3" s="284">
        <f t="shared" si="0"/>
        <v>0</v>
      </c>
      <c r="Y3" s="284"/>
      <c r="Z3" s="284"/>
      <c r="AA3" s="284" t="str">
        <f>IFERROR(INDEX(_xlfn.ANCHORARRAY('⚙️ Parametres'!$K$3),2),"")</f>
        <v>Apprenti</v>
      </c>
      <c r="AB3" s="284">
        <f>IF(AA3="","",COUNTIF(TPersonnel[Catégorie],AA3))</f>
        <v>2</v>
      </c>
      <c r="AC3" s="284" cm="1">
        <f t="array" ref="AC3">IF(AA3="","",SUMPRODUCT((UPPER(TPersonnel[Fonction à supprimer])="OUI")*(TPersonnel[Catégorie]=AA3)))</f>
        <v>0</v>
      </c>
      <c r="AD3" s="284"/>
      <c r="AE3" s="284" t="s">
        <v>159</v>
      </c>
      <c r="AF3" s="284">
        <f>B18</f>
        <v>0</v>
      </c>
      <c r="AG3" s="284">
        <f>C18</f>
        <v>0</v>
      </c>
    </row>
    <row r="4" spans="1:34" ht="25.9" thickBot="1" x14ac:dyDescent="0.8">
      <c r="A4" s="72">
        <f>ROWS(TPersonnel[])</f>
        <v>34</v>
      </c>
      <c r="B4" s="73" cm="1">
        <f t="array" ref="B4">SUMPRODUCT((UPPER(TPersonnel[Fonction à supprimer])="OUI")*1)</f>
        <v>0</v>
      </c>
      <c r="C4" s="74">
        <f>A4-B4</f>
        <v>34</v>
      </c>
      <c r="D4" s="75">
        <f>B4/A4</f>
        <v>0</v>
      </c>
      <c r="F4" s="195" cm="1">
        <f t="array" ref="F4">SUMPRODUCT(TPersonnel[Salaire Annuel Total]*(1+IF(TPersonnel[Catégorie]="Ouvrier",$B$32,IF(TPersonnel[Catégorie]="Cadre",$B$34,$B$33))))</f>
        <v>1575572.9580000006</v>
      </c>
      <c r="G4" s="195" cm="1">
        <f t="array" ref="G4">SUMPRODUCT((UPPER(TPersonnel[Fonction à supprimer])&lt;&gt;"OUI")*TPersonnel[Salaire Annuel Total]*(1+IF(TPersonnel[Catégorie]="Ouvrier",$B$32,IF(TPersonnel[Catégorie]="Cadre",$B$34,$B$33))))</f>
        <v>1575572.9580000006</v>
      </c>
      <c r="H4" s="196">
        <f>F4-G4</f>
        <v>0</v>
      </c>
      <c r="J4" s="197">
        <f>SUM(TPersonnel[TOTAL INDEM])</f>
        <v>0</v>
      </c>
      <c r="K4" s="197" cm="1">
        <f t="array" ref="K4">SUMPRODUCT((UPPER(TPersonnel[Fonction à supprimer])="OUI")*(UPPER(TPersonnel[CSP (contrat de sécurisation professionnel)])&lt;&gt;"OUI")*TPersonnel[Indem Préavis Brut]*(1+IF(TPersonnel[Catégorie]="Ouvrier",$B$32,IF(TPersonnel[Catégorie]="Cadre",$B$34,$B$33))))+SUMPRODUCT((UPPER(TPersonnel[Fonction à supprimer])="OUI")*(UPPER(TPersonnel[CSP (contrat de sécurisation professionnel)])="OUI")*TPersonnel[Indem Préavis Brut])</f>
        <v>0</v>
      </c>
      <c r="L4" s="197" cm="1">
        <f t="array" ref="L4">SUMPRODUCT((UPPER(TPersonnel[Fonction à supprimer])="OUI")*TPersonnel[Indem CP]*(1+IF(TPersonnel[Catégorie]="Ouvrier",$B$32,IF(TPersonnel[Catégorie]="Cadre",$B$34,$B$33))))</f>
        <v>0</v>
      </c>
      <c r="M4" s="287">
        <f>J4+K4+L4</f>
        <v>0</v>
      </c>
      <c r="N4" s="198">
        <f>IFERROR(M4/H4,0)</f>
        <v>0</v>
      </c>
      <c r="Q4" s="76" cm="1">
        <f t="array" ref="Q4">SUMPRODUCT((UPPER(TPersonnel[Fonction à supprimer])="OUI")*(TPersonnel[Type de contrat]="CDI"))</f>
        <v>0</v>
      </c>
      <c r="R4" s="76" cm="1">
        <f t="array" ref="R4">SUMPRODUCT((UPPER(TPersonnel[Fonction à supprimer])="OUI")*(TPersonnel[Type de contrat]="CDD"))</f>
        <v>0</v>
      </c>
      <c r="S4" s="76" cm="1">
        <f t="array" ref="S4">SUMPRODUCT((UPPER(TPersonnel[Fonction à supprimer])="OUI")*(TPersonnel[Sexe]="H"))</f>
        <v>0</v>
      </c>
      <c r="T4" s="76" cm="1">
        <f t="array" ref="T4">SUMPRODUCT((UPPER(TPersonnel[Fonction à supprimer])="OUI")*(TPersonnel[Sexe]="F"))</f>
        <v>0</v>
      </c>
      <c r="V4" s="284" t="str">
        <f t="shared" si="0"/>
        <v>VALENCE</v>
      </c>
      <c r="W4" s="284">
        <f t="shared" si="0"/>
        <v>15</v>
      </c>
      <c r="X4" s="284">
        <f t="shared" si="0"/>
        <v>0</v>
      </c>
      <c r="Y4" s="284"/>
      <c r="Z4" s="284"/>
      <c r="AA4" s="284" t="str">
        <f>IFERROR(INDEX(_xlfn.ANCHORARRAY('⚙️ Parametres'!$K$3),3),"")</f>
        <v>Employé</v>
      </c>
      <c r="AB4" s="284">
        <f>IF(AA4="","",COUNTIF(TPersonnel[Catégorie],AA4))</f>
        <v>2</v>
      </c>
      <c r="AC4" s="284" cm="1">
        <f t="array" ref="AC4">IF(AA4="","",SUMPRODUCT((UPPER(TPersonnel[Fonction à supprimer])="OUI")*(TPersonnel[Catégorie]=AA4)))</f>
        <v>0</v>
      </c>
      <c r="AD4" s="284"/>
      <c r="AE4" s="284"/>
      <c r="AF4" s="284"/>
      <c r="AG4" s="284"/>
    </row>
    <row r="5" spans="1:34" x14ac:dyDescent="0.45">
      <c r="A5" s="282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V5" s="285" t="str">
        <f>A12</f>
        <v/>
      </c>
      <c r="W5" s="285" t="str">
        <f>IF(A12="","",B12)</f>
        <v/>
      </c>
      <c r="X5" s="285" t="str">
        <f>IF(A12="","",C12)</f>
        <v/>
      </c>
      <c r="AA5" s="284" t="str">
        <f>IFERROR(INDEX(_xlfn.ANCHORARRAY('⚙️ Parametres'!$K$3),4),"")</f>
        <v>Ouvrier</v>
      </c>
      <c r="AB5" s="284">
        <f>IF(AA5="","",COUNTIF(TPersonnel[Catégorie],AA5))</f>
        <v>24</v>
      </c>
      <c r="AC5" s="284" cm="1">
        <f t="array" ref="AC5">IF(AA5="","",SUMPRODUCT((UPPER(TPersonnel[Fonction à supprimer])="OUI")*(TPersonnel[Catégorie]=AA5)))</f>
        <v>0</v>
      </c>
    </row>
    <row r="6" spans="1:34" x14ac:dyDescent="0.45">
      <c r="V6" s="284" t="str">
        <f>A13</f>
        <v/>
      </c>
      <c r="W6" s="284" t="str">
        <f>IF(A13="","",B13)</f>
        <v/>
      </c>
      <c r="X6" s="284" t="str">
        <f>IF(A13="","",C13)</f>
        <v/>
      </c>
      <c r="Y6" s="284"/>
      <c r="Z6" s="284"/>
      <c r="AA6" s="284" t="str">
        <f>IFERROR(INDEX(_xlfn.ANCHORARRAY('⚙️ Parametres'!$K$3),5),"")</f>
        <v/>
      </c>
      <c r="AB6" s="284" t="str">
        <f>IF(AA6="","",COUNTIF(TPersonnel[Catégorie],AA6))</f>
        <v/>
      </c>
      <c r="AC6" s="284" t="str" cm="1">
        <f t="array" ref="AC6">IF(AA6="","",SUMPRODUCT((UPPER(TPersonnel[Fonction à supprimer])="OUI")*(TPersonnel[Catégorie]=AA6)))</f>
        <v/>
      </c>
      <c r="AD6" s="284"/>
      <c r="AE6" s="283" t="s">
        <v>10</v>
      </c>
      <c r="AF6" s="283" t="s">
        <v>143</v>
      </c>
      <c r="AG6" s="283" t="s">
        <v>144</v>
      </c>
    </row>
    <row r="7" spans="1:34" ht="16.149999999999999" thickBot="1" x14ac:dyDescent="0.55000000000000004">
      <c r="A7" s="355" t="s">
        <v>160</v>
      </c>
      <c r="B7" s="355"/>
      <c r="C7" s="355"/>
      <c r="D7" s="355"/>
      <c r="E7" s="355"/>
      <c r="F7" s="355"/>
      <c r="G7" s="355"/>
      <c r="I7" s="355" t="s">
        <v>161</v>
      </c>
      <c r="J7" s="355"/>
      <c r="K7" s="355"/>
      <c r="L7" s="355"/>
      <c r="M7" s="355"/>
      <c r="N7" s="355"/>
      <c r="O7" s="355"/>
      <c r="V7" s="284" t="str">
        <f>A14</f>
        <v/>
      </c>
      <c r="W7" s="284" t="str">
        <f>IF(A14="","",B14)</f>
        <v/>
      </c>
      <c r="X7" s="284" t="str">
        <f>IF(A14="","",C14)</f>
        <v/>
      </c>
      <c r="Y7" s="284"/>
      <c r="Z7" s="284"/>
      <c r="AA7" s="284" t="str">
        <f>IFERROR(INDEX(_xlfn.ANCHORARRAY('⚙️ Parametres'!$K$3),6),"")</f>
        <v/>
      </c>
      <c r="AB7" s="284" t="str">
        <f>IF(AA7="","",COUNTIF(TPersonnel[Catégorie],AA7))</f>
        <v/>
      </c>
      <c r="AC7" s="284" t="str" cm="1">
        <f t="array" ref="AC7">IF(AA7="","",SUMPRODUCT((UPPER(TPersonnel[Fonction à supprimer])="OUI")*(TPersonnel[Catégorie]=AA7)))</f>
        <v/>
      </c>
      <c r="AD7" s="284"/>
      <c r="AE7" s="284" t="s">
        <v>162</v>
      </c>
      <c r="AF7" s="284">
        <f>J18</f>
        <v>28</v>
      </c>
      <c r="AG7" s="284">
        <f>K18</f>
        <v>0</v>
      </c>
    </row>
    <row r="8" spans="1:34" x14ac:dyDescent="0.45">
      <c r="A8" s="82" t="s">
        <v>5</v>
      </c>
      <c r="B8" s="79" t="s">
        <v>143</v>
      </c>
      <c r="C8" s="79" t="s">
        <v>163</v>
      </c>
      <c r="D8" s="79" t="s">
        <v>164</v>
      </c>
      <c r="E8" s="79" t="s">
        <v>165</v>
      </c>
      <c r="F8" s="79" t="s">
        <v>166</v>
      </c>
      <c r="G8" s="85" t="s">
        <v>167</v>
      </c>
      <c r="I8" s="82" t="s">
        <v>8</v>
      </c>
      <c r="J8" s="79" t="s">
        <v>143</v>
      </c>
      <c r="K8" s="79" t="s">
        <v>163</v>
      </c>
      <c r="L8" s="79" t="s">
        <v>164</v>
      </c>
      <c r="M8" s="79" t="s">
        <v>165</v>
      </c>
      <c r="N8" s="79" t="s">
        <v>166</v>
      </c>
      <c r="O8" s="85" t="s">
        <v>167</v>
      </c>
      <c r="V8"/>
      <c r="W8"/>
      <c r="X8"/>
      <c r="Y8" s="284"/>
      <c r="Z8" s="284"/>
      <c r="AA8" s="283" t="str">
        <f>IFERROR(INDEX(_xlfn.ANCHORARRAY('⚙️ Parametres'!$K$3),7),"")</f>
        <v/>
      </c>
      <c r="AB8" s="283" t="str">
        <f>IF(AA8="","",COUNTIF(TPersonnel[Catégorie],AA8))</f>
        <v/>
      </c>
      <c r="AC8" s="283" t="str" cm="1">
        <f t="array" ref="AC8">IF(AA8="","",SUMPRODUCT((UPPER(TPersonnel[Fonction à supprimer])="OUI")*(TPersonnel[Catégorie]=AA8)))</f>
        <v/>
      </c>
      <c r="AD8" s="284"/>
      <c r="AE8" s="283" t="s">
        <v>168</v>
      </c>
      <c r="AF8" s="284">
        <f>J19</f>
        <v>6</v>
      </c>
      <c r="AG8" s="284">
        <f>K19</f>
        <v>0</v>
      </c>
    </row>
    <row r="9" spans="1:34" x14ac:dyDescent="0.45">
      <c r="A9" s="83" t="str">
        <f>IFERROR(INDEX(_xlfn.ANCHORARRAY('⚙️ Parametres'!$J$3),1),"")</f>
        <v>PUSIGNAN</v>
      </c>
      <c r="B9" s="77">
        <f>COUNTIF(TPersonnel[Site],A9)</f>
        <v>13</v>
      </c>
      <c r="C9" s="77" cm="1">
        <f t="array" ref="C9">SUMPRODUCT((UPPER(TPersonnel[Fonction à supprimer])="OUI")*(TPersonnel[Site]=A9))</f>
        <v>0</v>
      </c>
      <c r="D9" s="77">
        <f>B9-C9</f>
        <v>13</v>
      </c>
      <c r="E9" s="26">
        <f>IF(B9=0,0,C9/B9)</f>
        <v>0</v>
      </c>
      <c r="F9" s="78" cm="1">
        <f t="array" ref="F9">SUMPRODUCT((TPersonnel[Site]=A9)*TPersonnel[Salaire Annuel Total]*(1+IF(TPersonnel[Catégorie]="Ouvrier",$B$32,IF(TPersonnel[Catégorie]="Cadre",$B$34,$B$33))))</f>
        <v>578474.30999999994</v>
      </c>
      <c r="G9" s="86" cm="1">
        <f t="array" ref="G9">SUMPRODUCT((UPPER(TPersonnel[Fonction à supprimer])&lt;&gt;"OUI")*(TPersonnel[Site]=A9)*TPersonnel[Salaire Annuel Total]*(1+IF(TPersonnel[Catégorie]="Ouvrier",$B$32,IF(TPersonnel[Catégorie]="Cadre",$B$34,$B$33))))</f>
        <v>578474.30999999994</v>
      </c>
      <c r="I9" s="83" t="str">
        <f>IFERROR(INDEX(_xlfn.ANCHORARRAY('⚙️ Parametres'!$K$3),1),"")</f>
        <v>Agent de maîtrise</v>
      </c>
      <c r="J9" s="77">
        <f>IF(I9="","",COUNTIF(TPersonnel[Catégorie],I9))</f>
        <v>6</v>
      </c>
      <c r="K9" s="77" cm="1">
        <f t="array" ref="K9">IF(I9="","",SUMPRODUCT((UPPER(TPersonnel[Fonction à supprimer])="OUI")*(TPersonnel[Catégorie]=I9)))</f>
        <v>0</v>
      </c>
      <c r="L9" s="77">
        <f>J9-K9</f>
        <v>6</v>
      </c>
      <c r="M9" s="26">
        <f>IF(J9=0,0,K9/J9)</f>
        <v>0</v>
      </c>
      <c r="N9" s="78" cm="1">
        <f t="array" ref="N9">IF(I9="","",SUMPRODUCT((TPersonnel[Catégorie]=I9)*TPersonnel[Salaire Annuel Total]*(1+IF(TPersonnel[Catégorie]="Ouvrier",$B$32,IF(TPersonnel[Catégorie]="Cadre",$B$34,$B$33)))))</f>
        <v>324144.59999999998</v>
      </c>
      <c r="O9" s="86" cm="1">
        <f t="array" ref="O9">IF(I9="","",SUMPRODUCT((UPPER(TPersonnel[Fonction à supprimer])&lt;&gt;"OUI")*(TPersonnel[Catégorie]=I9)*TPersonnel[Salaire Annuel Total]*(1+IF(TPersonnel[Catégorie]="Ouvrier",$B$32,IF(TPersonnel[Catégorie]="Cadre",$B$34,$B$33)))))</f>
        <v>324144.59999999998</v>
      </c>
      <c r="V9"/>
      <c r="W9"/>
      <c r="X9"/>
      <c r="Y9" s="284"/>
      <c r="Z9" s="284"/>
      <c r="AA9" s="284" t="str">
        <f>IFERROR(INDEX(_xlfn.ANCHORARRAY('⚙️ Parametres'!$K$3),8),"")</f>
        <v/>
      </c>
      <c r="AB9" s="284" t="str">
        <f>IF(AA9="","",COUNTIF(TPersonnel[Catégorie],AA9))</f>
        <v/>
      </c>
      <c r="AC9" s="284" t="str" cm="1">
        <f t="array" ref="AC9">IF(AA9="","",SUMPRODUCT((UPPER(TPersonnel[Fonction à supprimer])="OUI")*(TPersonnel[Catégorie]=AA9)))</f>
        <v/>
      </c>
      <c r="AD9" s="284"/>
      <c r="AE9" s="284"/>
      <c r="AF9" s="284"/>
      <c r="AG9" s="284"/>
    </row>
    <row r="10" spans="1:34" x14ac:dyDescent="0.45">
      <c r="A10" s="83" t="str">
        <f>IFERROR(INDEX(_xlfn.ANCHORARRAY('⚙️ Parametres'!$J$3),2),"")</f>
        <v>ROGNAC</v>
      </c>
      <c r="B10" s="77">
        <f>COUNTIF(TPersonnel[Site],A10)</f>
        <v>6</v>
      </c>
      <c r="C10" s="77" cm="1">
        <f t="array" ref="C10">SUMPRODUCT((UPPER(TPersonnel[Fonction à supprimer])="OUI")*(TPersonnel[Site]=A10))</f>
        <v>0</v>
      </c>
      <c r="D10" s="77">
        <f t="shared" ref="D10:D11" si="1">B10-C10</f>
        <v>6</v>
      </c>
      <c r="E10" s="26">
        <f t="shared" ref="E10:E11" si="2">IF(B10=0,0,C10/B10)</f>
        <v>0</v>
      </c>
      <c r="F10" s="78" cm="1">
        <f t="array" ref="F10">SUMPRODUCT((TPersonnel[Site]=A10)*TPersonnel[Salaire Annuel Total]*(1+IF(TPersonnel[Catégorie]="Ouvrier",$B$32,IF(TPersonnel[Catégorie]="Cadre",$B$34,$B$33))))</f>
        <v>297901.39800000004</v>
      </c>
      <c r="G10" s="86" cm="1">
        <f t="array" ref="G10">SUMPRODUCT((UPPER(TPersonnel[Fonction à supprimer])&lt;&gt;"OUI")*(TPersonnel[Site]=A10)*TPersonnel[Salaire Annuel Total]*(1+IF(TPersonnel[Catégorie]="Ouvrier",$B$32,IF(TPersonnel[Catégorie]="Cadre",$B$34,$B$33))))</f>
        <v>297901.39800000004</v>
      </c>
      <c r="I10" s="83" t="str">
        <f>IFERROR(INDEX(_xlfn.ANCHORARRAY('⚙️ Parametres'!$K$3),2),"")</f>
        <v>Apprenti</v>
      </c>
      <c r="J10" s="77">
        <f>IF(I10="","",COUNTIF(TPersonnel[Catégorie],I10))</f>
        <v>2</v>
      </c>
      <c r="K10" s="77" cm="1">
        <f t="array" ref="K10">IF(I10="","",SUMPRODUCT((UPPER(TPersonnel[Fonction à supprimer])="OUI")*(TPersonnel[Catégorie]=I10)))</f>
        <v>0</v>
      </c>
      <c r="L10" s="77">
        <f t="shared" ref="L10:L11" si="3">J10-K10</f>
        <v>2</v>
      </c>
      <c r="M10" s="26">
        <f t="shared" ref="M10:M11" si="4">IF(J10=0,0,K10/J10)</f>
        <v>0</v>
      </c>
      <c r="N10" s="78" cm="1">
        <f t="array" ref="N10">IF(I10="","",SUMPRODUCT((TPersonnel[Catégorie]=I10)*TPersonnel[Salaire Annuel Total]*(1+IF(TPersonnel[Catégorie]="Ouvrier",$B$32,IF(TPersonnel[Catégorie]="Cadre",$B$34,$B$33)))))</f>
        <v>35173.055999999997</v>
      </c>
      <c r="O10" s="86" cm="1">
        <f t="array" ref="O10">IF(I10="","",SUMPRODUCT((UPPER(TPersonnel[Fonction à supprimer])&lt;&gt;"OUI")*(TPersonnel[Catégorie]=I10)*TPersonnel[Salaire Annuel Total]*(1+IF(TPersonnel[Catégorie]="Ouvrier",$B$32,IF(TPersonnel[Catégorie]="Cadre",$B$34,$B$33)))))</f>
        <v>35173.055999999997</v>
      </c>
      <c r="V10" s="284"/>
      <c r="W10" s="284"/>
      <c r="X10" s="284"/>
      <c r="Y10" s="284"/>
      <c r="Z10" s="284"/>
      <c r="AA10" s="284" t="s">
        <v>169</v>
      </c>
      <c r="AB10" s="284">
        <f ca="1">J24</f>
        <v>1</v>
      </c>
      <c r="AC10" s="284">
        <f ca="1">L24</f>
        <v>0</v>
      </c>
      <c r="AD10" s="284"/>
      <c r="AE10" s="284"/>
      <c r="AF10" s="284"/>
      <c r="AG10" s="284"/>
    </row>
    <row r="11" spans="1:34" ht="14.65" thickBot="1" x14ac:dyDescent="0.5">
      <c r="A11" s="290" t="str">
        <f>IFERROR(INDEX(_xlfn.ANCHORARRAY('⚙️ Parametres'!$J$3),3),"")</f>
        <v>VALENCE</v>
      </c>
      <c r="B11" s="291">
        <f>COUNTIF(TPersonnel[Site],A11)</f>
        <v>15</v>
      </c>
      <c r="C11" s="291" cm="1">
        <f t="array" ref="C11">SUMPRODUCT((UPPER(TPersonnel[Fonction à supprimer])="OUI")*(TPersonnel[Site]=A11))</f>
        <v>0</v>
      </c>
      <c r="D11" s="291">
        <f t="shared" si="1"/>
        <v>15</v>
      </c>
      <c r="E11" s="289">
        <f t="shared" si="2"/>
        <v>0</v>
      </c>
      <c r="F11" s="292" cm="1">
        <f t="array" ref="F11">SUMPRODUCT((TPersonnel[Site]=A11)*TPersonnel[Salaire Annuel Total]*(1+IF(TPersonnel[Catégorie]="Ouvrier",$B$32,IF(TPersonnel[Catégorie]="Cadre",$B$34,$B$33))))</f>
        <v>699197.25</v>
      </c>
      <c r="G11" s="293" cm="1">
        <f t="array" ref="G11">SUMPRODUCT((UPPER(TPersonnel[Fonction à supprimer])&lt;&gt;"OUI")*(TPersonnel[Site]=A11)*TPersonnel[Salaire Annuel Total]*(1+IF(TPersonnel[Catégorie]="Ouvrier",$B$32,IF(TPersonnel[Catégorie]="Cadre",$B$34,$B$33))))</f>
        <v>699197.25</v>
      </c>
      <c r="I11" s="83" t="str">
        <f>IFERROR(INDEX(_xlfn.ANCHORARRAY('⚙️ Parametres'!$K$3),3),"")</f>
        <v>Employé</v>
      </c>
      <c r="J11" s="77">
        <f>IF(I11="","",COUNTIF(TPersonnel[Catégorie],I11))</f>
        <v>2</v>
      </c>
      <c r="K11" s="77" cm="1">
        <f t="array" ref="K11">IF(I11="","",SUMPRODUCT((UPPER(TPersonnel[Fonction à supprimer])="OUI")*(TPersonnel[Catégorie]=I11)))</f>
        <v>0</v>
      </c>
      <c r="L11" s="77">
        <f t="shared" si="3"/>
        <v>2</v>
      </c>
      <c r="M11" s="26">
        <f t="shared" si="4"/>
        <v>0</v>
      </c>
      <c r="N11" s="78" cm="1">
        <f t="array" ref="N11">IF(I11="","",SUMPRODUCT((TPersonnel[Catégorie]=I11)*TPersonnel[Salaire Annuel Total]*(1+IF(TPersonnel[Catégorie]="Ouvrier",$B$32,IF(TPersonnel[Catégorie]="Cadre",$B$34,$B$33)))))</f>
        <v>87870</v>
      </c>
      <c r="O11" s="86" cm="1">
        <f t="array" ref="O11">IF(I11="","",SUMPRODUCT((UPPER(TPersonnel[Fonction à supprimer])&lt;&gt;"OUI")*(TPersonnel[Catégorie]=I11)*TPersonnel[Salaire Annuel Total]*(1+IF(TPersonnel[Catégorie]="Ouvrier",$B$32,IF(TPersonnel[Catégorie]="Cadre",$B$34,$B$33)))))</f>
        <v>87870</v>
      </c>
      <c r="V11" s="284"/>
      <c r="W11" s="284"/>
      <c r="X11" s="284"/>
      <c r="Y11" s="284"/>
      <c r="Z11" s="284"/>
      <c r="AA11" s="284" t="s">
        <v>170</v>
      </c>
      <c r="AB11" s="284">
        <f ca="1">J25</f>
        <v>12</v>
      </c>
      <c r="AC11" s="284">
        <f ca="1">L25</f>
        <v>0</v>
      </c>
      <c r="AD11" s="284"/>
      <c r="AE11" s="284"/>
      <c r="AF11" s="284"/>
      <c r="AG11" s="284"/>
    </row>
    <row r="12" spans="1:34" x14ac:dyDescent="0.45">
      <c r="A12" s="294" t="str">
        <f>IFERROR(INDEX(_xlfn.ANCHORARRAY('⚙️ Parametres'!$J$3),4),"")</f>
        <v/>
      </c>
      <c r="B12" s="296" t="str">
        <f>IF(A12="","",COUNTIF(TPersonnel[Site],A12))</f>
        <v/>
      </c>
      <c r="C12" s="296" t="str">
        <f>IF(B12="","",COUNTIF(TPersonnel[Fonction],B12))</f>
        <v/>
      </c>
      <c r="D12" s="296" t="str">
        <f>IF(C12="","",COUNTIF(TPersonnel[Type de contrat],C12))</f>
        <v/>
      </c>
      <c r="E12" s="297" t="str">
        <f>IF(A12="","",IF(B12=0,0,C12/B12))</f>
        <v/>
      </c>
      <c r="F12" s="298" t="str" cm="1">
        <f t="array" ref="F12">IF(A12="","",SUMPRODUCT((TPersonnel[Site]=A12)*TPersonnel[Salaire Annuel Total]*(1+IF(TPersonnel[Catégorie]="Ouvrier",$B$32,IF(TPersonnel[Catégorie]="Cadre",$B$34,$B$33)))))</f>
        <v/>
      </c>
      <c r="G12" s="298" t="str" cm="1">
        <f t="array" ref="G12">IF(A12="","",SUMPRODUCT((UPPER(TPersonnel[Fonction à supprimer])&lt;&gt;"OUI")*(TPersonnel[Site]=A12)*TPersonnel[Salaire Annuel Total]*(1+IF(TPersonnel[Catégorie]="Ouvrier",$B$32,IF(TPersonnel[Catégorie]="Cadre",$B$34,$B$33)))))</f>
        <v/>
      </c>
      <c r="I12" s="307" t="str">
        <f>IFERROR(INDEX(_xlfn.ANCHORARRAY('⚙️ Parametres'!$K$3),4),"")</f>
        <v>Ouvrier</v>
      </c>
      <c r="J12" s="308">
        <f>IF(I12="","",COUNTIF(TPersonnel[Catégorie],I12))</f>
        <v>24</v>
      </c>
      <c r="K12" s="308" cm="1">
        <f t="array" ref="K12">IF(I12="","",SUMPRODUCT((UPPER(TPersonnel[Fonction à supprimer])="OUI")*(TPersonnel[Catégorie]=I12)))</f>
        <v>0</v>
      </c>
      <c r="L12" s="308">
        <f>J12-K12</f>
        <v>24</v>
      </c>
      <c r="M12" s="309">
        <f>IF(J12=0,0,K12/J12)</f>
        <v>0</v>
      </c>
      <c r="N12" s="310" cm="1">
        <f t="array" ref="N12">IF(I12="","",SUMPRODUCT((TPersonnel[Catégorie]=I12)*TPersonnel[Salaire Annuel Total]*(1+IF(TPersonnel[Catégorie]="Ouvrier",$B$32,IF(TPersonnel[Catégorie]="Cadre",$B$34,$B$33)))))</f>
        <v>1128385.3020000004</v>
      </c>
      <c r="O12" s="311" cm="1">
        <f t="array" ref="O12">IF(I12="","",SUMPRODUCT((UPPER(TPersonnel[Fonction à supprimer])&lt;&gt;"OUI")*(TPersonnel[Catégorie]=I12)*TPersonnel[Salaire Annuel Total]*(1+IF(TPersonnel[Catégorie]="Ouvrier",$B$32,IF(TPersonnel[Catégorie]="Cadre",$B$34,$B$33)))))</f>
        <v>1128385.3020000004</v>
      </c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</row>
    <row r="13" spans="1:34" x14ac:dyDescent="0.45">
      <c r="A13" s="295" t="str">
        <f>IFERROR(INDEX(_xlfn.ANCHORARRAY('⚙️ Parametres'!$J$3),5),"")</f>
        <v/>
      </c>
      <c r="B13" s="299" t="str">
        <f>IF(A13="","",COUNTIF(TPersonnel[Site],A13))</f>
        <v/>
      </c>
      <c r="C13" s="299" t="str">
        <f>IF(B13="","",COUNTIF(TPersonnel[Fonction],B13))</f>
        <v/>
      </c>
      <c r="D13" s="299" t="str">
        <f>IF(A13="","",B13-C13)</f>
        <v/>
      </c>
      <c r="E13" s="300" t="str">
        <f>IF(A13="","",IF(B13=0,0,C13/B13))</f>
        <v/>
      </c>
      <c r="F13" s="301" t="str" cm="1">
        <f t="array" ref="F13">IF(A13="","",SUMPRODUCT((TPersonnel[Site]=A13)*TPersonnel[Salaire Annuel Total]*(1+IF(TPersonnel[Catégorie]="Ouvrier",$B$32,IF(TPersonnel[Catégorie]="Cadre",$B$34,$B$33)))))</f>
        <v/>
      </c>
      <c r="G13" s="301" t="str" cm="1">
        <f t="array" ref="G13">IF(A13="","",SUMPRODUCT((UPPER(TPersonnel[Fonction à supprimer])&lt;&gt;"OUI")*(TPersonnel[Site]=A13)*TPersonnel[Salaire Annuel Total]*(1+IF(TPersonnel[Catégorie]="Ouvrier",$B$32,IF(TPersonnel[Catégorie]="Cadre",$B$34,$B$33)))))</f>
        <v/>
      </c>
      <c r="I13" s="295" t="str">
        <f>IFERROR(INDEX(_xlfn.ANCHORARRAY('⚙️ Parametres'!$K$3),5),"")</f>
        <v/>
      </c>
      <c r="J13" s="299" t="str">
        <f>IF(I13="","",COUNTIF(TPersonnel[Catégorie],I13))</f>
        <v/>
      </c>
      <c r="K13" s="299" t="str">
        <f>IF(J13="","",COUNTIF(TPersonnel[Coef],J13))</f>
        <v/>
      </c>
      <c r="L13" s="299" t="str">
        <f>IF(I13="","",J13-K13)</f>
        <v/>
      </c>
      <c r="M13" s="300" t="str">
        <f>IF(I13="","",IF(J13=0,0,K13/J13))</f>
        <v/>
      </c>
      <c r="N13" s="301" t="str" cm="1">
        <f t="array" ref="N13">IF(I13="","",SUMPRODUCT((TPersonnel[Catégorie]=I13)*TPersonnel[Salaire Annuel Total]*(1+IF(TPersonnel[Catégorie]="Ouvrier",$B$32,IF(TPersonnel[Catégorie]="Cadre",$B$34,$B$33)))))</f>
        <v/>
      </c>
      <c r="O13" s="301" t="str" cm="1">
        <f t="array" ref="O13">IF(I13="","",SUMPRODUCT((UPPER(TPersonnel[Fonction à supprimer])&lt;&gt;"OUI")*(TPersonnel[Catégorie]=I13)*TPersonnel[Salaire Annuel Total]*(1+IF(TPersonnel[Catégorie]="Ouvrier",$B$32,IF(TPersonnel[Catégorie]="Cadre",$B$34,$B$33)))))</f>
        <v/>
      </c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</row>
    <row r="14" spans="1:34" x14ac:dyDescent="0.45">
      <c r="A14" s="295" t="str">
        <f>IFERROR(INDEX(_xlfn.ANCHORARRAY('⚙️ Parametres'!$J$3),6),"")</f>
        <v/>
      </c>
      <c r="B14" s="299" t="str">
        <f>IF(A14="","",COUNTIF(TPersonnel[Site],A14))</f>
        <v/>
      </c>
      <c r="C14" s="299" t="str">
        <f>IF(B14="","",COUNTIF(TPersonnel[Fonction],B14))</f>
        <v/>
      </c>
      <c r="D14" s="299" t="str">
        <f>IF(A14="","",B14-C14)</f>
        <v/>
      </c>
      <c r="E14" s="300" t="str">
        <f>IF(A14="","",IF(B14=0,0,C14/B14))</f>
        <v/>
      </c>
      <c r="F14" s="301" t="str" cm="1">
        <f t="array" ref="F14">IF(A14="","",SUMPRODUCT((TPersonnel[Site]=A14)*TPersonnel[Salaire Annuel Total]*(1+IF(TPersonnel[Catégorie]="Ouvrier",$B$32,IF(TPersonnel[Catégorie]="Cadre",$B$34,$B$33)))))</f>
        <v/>
      </c>
      <c r="G14" s="301" t="str" cm="1">
        <f t="array" ref="G14">IF(A14="","",SUMPRODUCT((UPPER(TPersonnel[Fonction à supprimer])&lt;&gt;"OUI")*(TPersonnel[Site]=A14)*TPersonnel[Salaire Annuel Total]*(1+IF(TPersonnel[Catégorie]="Ouvrier",$B$32,IF(TPersonnel[Catégorie]="Cadre",$B$34,$B$33)))))</f>
        <v/>
      </c>
      <c r="I14" s="295" t="str">
        <f>IFERROR(INDEX(_xlfn.ANCHORARRAY('⚙️ Parametres'!$K$3),6),"")</f>
        <v/>
      </c>
      <c r="J14" s="299" t="str">
        <f>IF(I14="","",COUNTIF(TPersonnel[Catégorie],I14))</f>
        <v/>
      </c>
      <c r="L14" s="299" t="str">
        <f>IF(I14="","",J14-K14)</f>
        <v/>
      </c>
      <c r="M14" s="300" t="str">
        <f>IF(I14="","",IF(J14=0,0,K14/J14))</f>
        <v/>
      </c>
      <c r="N14" s="301" t="str" cm="1">
        <f t="array" ref="N14">IF(I14="","",SUMPRODUCT((TPersonnel[Catégorie]=I14)*TPersonnel[Salaire Annuel Total]*(1+IF(TPersonnel[Catégorie]="Ouvrier",$B$32,IF(TPersonnel[Catégorie]="Cadre",$B$34,$B$33)))))</f>
        <v/>
      </c>
      <c r="O14" s="301" t="str" cm="1">
        <f t="array" ref="O14">IF(I14="","",SUMPRODUCT((UPPER(TPersonnel[Fonction à supprimer])&lt;&gt;"OUI")*(TPersonnel[Catégorie]=I14)*TPersonnel[Salaire Annuel Total]*(1+IF(TPersonnel[Catégorie]="Ouvrier",$B$32,IF(TPersonnel[Catégorie]="Cadre",$B$34,$B$33)))))</f>
        <v/>
      </c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</row>
    <row r="15" spans="1:34" ht="16.149999999999999" thickBot="1" x14ac:dyDescent="0.55000000000000004">
      <c r="A15" s="356" t="s">
        <v>171</v>
      </c>
      <c r="B15" s="356"/>
      <c r="C15" s="356"/>
      <c r="D15" s="356"/>
      <c r="E15" s="356"/>
      <c r="F15" s="356"/>
      <c r="G15" s="356"/>
      <c r="V15" s="284" t="s">
        <v>172</v>
      </c>
      <c r="W15" s="284">
        <f>J4</f>
        <v>0</v>
      </c>
      <c r="X15" s="284"/>
      <c r="Y15" s="284"/>
      <c r="Z15" s="284"/>
      <c r="AA15" s="284" t="s">
        <v>173</v>
      </c>
      <c r="AB15" s="284">
        <f ca="1">J27</f>
        <v>3</v>
      </c>
      <c r="AC15" s="284">
        <f ca="1">L27</f>
        <v>1</v>
      </c>
      <c r="AD15" s="284"/>
      <c r="AE15" s="284"/>
      <c r="AF15" s="284"/>
      <c r="AG15" s="284"/>
    </row>
    <row r="16" spans="1:34" ht="16.149999999999999" thickBot="1" x14ac:dyDescent="0.55000000000000004">
      <c r="A16" s="82" t="s">
        <v>142</v>
      </c>
      <c r="B16" s="79" t="s">
        <v>143</v>
      </c>
      <c r="C16" s="79" t="s">
        <v>163</v>
      </c>
      <c r="D16" s="79" t="s">
        <v>164</v>
      </c>
      <c r="E16" s="79" t="s">
        <v>174</v>
      </c>
      <c r="F16" s="79" t="s">
        <v>175</v>
      </c>
      <c r="G16" s="85" t="s">
        <v>166</v>
      </c>
      <c r="I16" s="356" t="s">
        <v>176</v>
      </c>
      <c r="J16" s="356"/>
      <c r="K16" s="356"/>
      <c r="L16" s="356"/>
      <c r="M16" s="356"/>
      <c r="N16" s="356"/>
      <c r="O16" s="356"/>
      <c r="V16" s="284" t="s">
        <v>177</v>
      </c>
      <c r="W16" s="284">
        <f>K4</f>
        <v>0</v>
      </c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</row>
    <row r="17" spans="1:33" x14ac:dyDescent="0.45">
      <c r="A17" s="83" t="s">
        <v>50</v>
      </c>
      <c r="B17" s="77">
        <f>COUNTIF(TPersonnel[Type de contrat],"CDI")</f>
        <v>34</v>
      </c>
      <c r="C17" s="77" cm="1">
        <f t="array" ref="C17">SUMPRODUCT((UPPER(TPersonnel[Fonction à supprimer])="OUI")*(TPersonnel[Type de contrat]="CDI"))</f>
        <v>0</v>
      </c>
      <c r="D17" s="77">
        <f>B17-C17</f>
        <v>34</v>
      </c>
      <c r="E17" s="26">
        <f>B17/$A$4</f>
        <v>1</v>
      </c>
      <c r="F17" s="26">
        <f>D17/$C$4</f>
        <v>1</v>
      </c>
      <c r="G17" s="86" cm="1">
        <f t="array" ref="G17">SUMPRODUCT((TPersonnel[Type de contrat]="CDI")*TPersonnel[Salaire Annuel Total]*(1+IF(TPersonnel[Catégorie]="Ouvrier",$B$32,IF(TPersonnel[Catégorie]="Cadre",$B$34,$B$33))))</f>
        <v>1575572.9580000006</v>
      </c>
      <c r="I17" s="82" t="s">
        <v>10</v>
      </c>
      <c r="J17" s="79" t="s">
        <v>143</v>
      </c>
      <c r="K17" s="79" t="s">
        <v>163</v>
      </c>
      <c r="L17" s="79" t="s">
        <v>164</v>
      </c>
      <c r="M17" s="79" t="s">
        <v>174</v>
      </c>
      <c r="N17" s="79" t="s">
        <v>175</v>
      </c>
      <c r="O17" s="85" t="s">
        <v>166</v>
      </c>
      <c r="V17" s="284" t="s">
        <v>178</v>
      </c>
      <c r="W17" s="284">
        <f>L4</f>
        <v>0</v>
      </c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</row>
    <row r="18" spans="1:33" ht="14.65" thickBot="1" x14ac:dyDescent="0.5">
      <c r="A18" s="84" t="s">
        <v>159</v>
      </c>
      <c r="B18" s="80">
        <f>COUNTIF(TPersonnel[Type de contrat],"CDD")</f>
        <v>0</v>
      </c>
      <c r="C18" s="80" cm="1">
        <f t="array" ref="C18">SUMPRODUCT((UPPER(TPersonnel[Fonction à supprimer])="OUI")*(TPersonnel[Type de contrat]="CDD"))</f>
        <v>0</v>
      </c>
      <c r="D18" s="80">
        <f>B18-C18</f>
        <v>0</v>
      </c>
      <c r="E18" s="81">
        <f>B18/$A$4</f>
        <v>0</v>
      </c>
      <c r="F18" s="81">
        <f>D18/$C$4</f>
        <v>0</v>
      </c>
      <c r="G18" s="87" cm="1">
        <f t="array" ref="G18">SUMPRODUCT((TPersonnel[Type de contrat]="CDD")*TPersonnel[Salaire Annuel Total]*(1+IF(TPersonnel[Catégorie]="Ouvrier",$B$32,IF(TPersonnel[Catégorie]="Cadre",$B$34,$B$33))))</f>
        <v>0</v>
      </c>
      <c r="I18" s="83" t="s">
        <v>179</v>
      </c>
      <c r="J18" s="77">
        <f>COUNTIF(TPersonnel[Sexe],"H")</f>
        <v>28</v>
      </c>
      <c r="K18" s="77" cm="1">
        <f t="array" ref="K18">SUMPRODUCT((UPPER(TPersonnel[Fonction à supprimer])="OUI")*(TPersonnel[Sexe]="H"))</f>
        <v>0</v>
      </c>
      <c r="L18" s="77">
        <f>J18-K18</f>
        <v>28</v>
      </c>
      <c r="M18" s="26">
        <f>J18/$A$4</f>
        <v>0.82352941176470584</v>
      </c>
      <c r="N18" s="26">
        <f>L18/$C$4</f>
        <v>0.82352941176470584</v>
      </c>
      <c r="O18" s="86" cm="1">
        <f t="array" ref="O18">SUMPRODUCT((TPersonnel[Sexe]="H")*TPersonnel[Salaire Annuel Total]*(1+IF(TPersonnel[Catégorie]="Ouvrier",$B$32,IF(TPersonnel[Catégorie]="Cadre",$B$34,$B$33))))</f>
        <v>1319993.0580000004</v>
      </c>
      <c r="V18" s="284" t="s">
        <v>180</v>
      </c>
      <c r="W18" s="284">
        <f>SUM(TPersonnel[COÛT Charges Patronales])</f>
        <v>0</v>
      </c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</row>
    <row r="19" spans="1:33" ht="14.65" thickBot="1" x14ac:dyDescent="0.5">
      <c r="I19" s="84" t="s">
        <v>181</v>
      </c>
      <c r="J19" s="80">
        <f>COUNTIF(TPersonnel[Sexe],"F")</f>
        <v>6</v>
      </c>
      <c r="K19" s="80" cm="1">
        <f t="array" ref="K19">SUMPRODUCT((UPPER(TPersonnel[Fonction à supprimer])="OUI")*(TPersonnel[Sexe]="F"))</f>
        <v>0</v>
      </c>
      <c r="L19" s="80">
        <f>J19-K19</f>
        <v>6</v>
      </c>
      <c r="M19" s="81">
        <f>J19/$A$4</f>
        <v>0.17647058823529413</v>
      </c>
      <c r="N19" s="81">
        <f>L19/$C$4</f>
        <v>0.17647058823529413</v>
      </c>
      <c r="O19" s="87" cm="1">
        <f t="array" ref="O19">SUMPRODUCT((TPersonnel[Sexe]="F")*TPersonnel[Salaire Annuel Total]*(1+IF(TPersonnel[Catégorie]="Ouvrier",$B$32,IF(TPersonnel[Catégorie]="Cadre",$B$34,$B$33))))</f>
        <v>255579.89999999997</v>
      </c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</row>
    <row r="20" spans="1:33" x14ac:dyDescent="0.45"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</row>
    <row r="21" spans="1:33" ht="16.149999999999999" thickBot="1" x14ac:dyDescent="0.55000000000000004">
      <c r="I21" s="352" t="s">
        <v>182</v>
      </c>
      <c r="J21" s="352"/>
      <c r="K21" s="352"/>
      <c r="L21" s="352"/>
      <c r="M21" s="352"/>
      <c r="N21" s="352"/>
      <c r="O21" s="352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</row>
    <row r="22" spans="1:33" x14ac:dyDescent="0.45">
      <c r="I22" s="82" t="s">
        <v>183</v>
      </c>
      <c r="J22" s="79" t="s">
        <v>184</v>
      </c>
      <c r="K22" s="79" t="s">
        <v>185</v>
      </c>
      <c r="L22" s="79" t="s">
        <v>186</v>
      </c>
      <c r="M22" s="79" t="s">
        <v>187</v>
      </c>
      <c r="N22" s="79" t="s">
        <v>188</v>
      </c>
      <c r="O22" s="85" t="s">
        <v>189</v>
      </c>
    </row>
    <row r="23" spans="1:33" x14ac:dyDescent="0.45">
      <c r="I23" s="83" t="s">
        <v>190</v>
      </c>
      <c r="J23" s="77" cm="1">
        <f t="array" aca="1" ref="J23" ca="1">SUMPRODUCT((TPersonnel[Age]&lt;30)*(TPersonnel[Sexe]="H"))</f>
        <v>3</v>
      </c>
      <c r="K23" s="77" cm="1">
        <f t="array" aca="1" ref="K23" ca="1">SUMPRODUCT((TPersonnel[Age]&lt;30)*(TPersonnel[Sexe]="H")*(UPPER(TPersonnel[Fonction à supprimer])="OUI"))</f>
        <v>0</v>
      </c>
      <c r="L23" s="77" cm="1">
        <f t="array" aca="1" ref="L23" ca="1">SUMPRODUCT((TPersonnel[Age]&lt;30)*(TPersonnel[Sexe]="F"))</f>
        <v>3</v>
      </c>
      <c r="M23" s="77" cm="1">
        <f t="array" aca="1" ref="M23" ca="1">SUMPRODUCT((TPersonnel[Age]&lt;30)*(TPersonnel[Sexe]="F")*(UPPER(TPersonnel[Fonction à supprimer])="OUI"))</f>
        <v>0</v>
      </c>
      <c r="N23" s="77">
        <f t="shared" ref="N23:O27" ca="1" si="5">J23+L23</f>
        <v>6</v>
      </c>
      <c r="O23" s="88">
        <f t="shared" ca="1" si="5"/>
        <v>0</v>
      </c>
    </row>
    <row r="24" spans="1:33" x14ac:dyDescent="0.45">
      <c r="I24" s="83" t="s">
        <v>169</v>
      </c>
      <c r="J24" s="77" cm="1">
        <f t="array" aca="1" ref="J24" ca="1">SUMPRODUCT((TPersonnel[Age]&gt;=30)*(TPersonnel[Age]&lt;40)*(TPersonnel[Sexe]="H"))</f>
        <v>1</v>
      </c>
      <c r="K24" s="77" cm="1">
        <f t="array" aca="1" ref="K24" ca="1">SUMPRODUCT((TPersonnel[Age]&gt;=30)*(TPersonnel[Age]&lt;40)*(TPersonnel[Sexe]="H")*(UPPER(TPersonnel[Fonction à supprimer])="OUI"))</f>
        <v>0</v>
      </c>
      <c r="L24" s="77" cm="1">
        <f t="array" aca="1" ref="L24" ca="1">SUMPRODUCT((TPersonnel[Age]&gt;=30)*(TPersonnel[Age]&lt;40)*(TPersonnel[Sexe]="F"))</f>
        <v>0</v>
      </c>
      <c r="M24" s="77" cm="1">
        <f t="array" aca="1" ref="M24" ca="1">SUMPRODUCT((TPersonnel[Age]&gt;=30)*(TPersonnel[Age]&lt;40)*(TPersonnel[Sexe]="F")*(UPPER(TPersonnel[Fonction à supprimer])="OUI"))</f>
        <v>0</v>
      </c>
      <c r="N24" s="77">
        <f t="shared" ca="1" si="5"/>
        <v>1</v>
      </c>
      <c r="O24" s="88">
        <f t="shared" ca="1" si="5"/>
        <v>0</v>
      </c>
    </row>
    <row r="25" spans="1:33" x14ac:dyDescent="0.45">
      <c r="G25" s="180"/>
      <c r="I25" s="83" t="s">
        <v>170</v>
      </c>
      <c r="J25" s="77" cm="1">
        <f t="array" aca="1" ref="J25" ca="1">SUMPRODUCT((TPersonnel[Age]&gt;=40)*(TPersonnel[Age]&lt;50)*(TPersonnel[Sexe]="H"))</f>
        <v>12</v>
      </c>
      <c r="K25" s="77" cm="1">
        <f t="array" aca="1" ref="K25" ca="1">SUMPRODUCT((TPersonnel[Age]&gt;=40)*(TPersonnel[Age]&lt;50)*(TPersonnel[Sexe]="H")*(UPPER(TPersonnel[Fonction à supprimer])="OUI"))</f>
        <v>0</v>
      </c>
      <c r="L25" s="77" cm="1">
        <f t="array" aca="1" ref="L25" ca="1">SUMPRODUCT((TPersonnel[Age]&gt;=40)*(TPersonnel[Age]&lt;50)*(TPersonnel[Sexe]="F"))</f>
        <v>0</v>
      </c>
      <c r="M25" s="77" cm="1">
        <f t="array" aca="1" ref="M25" ca="1">SUMPRODUCT((TPersonnel[Age]&gt;=40)*(TPersonnel[Age]&lt;50)*(TPersonnel[Sexe]="F")*(UPPER(TPersonnel[Fonction à supprimer])="OUI"))</f>
        <v>0</v>
      </c>
      <c r="N25" s="77">
        <f t="shared" ca="1" si="5"/>
        <v>12</v>
      </c>
      <c r="O25" s="88">
        <f t="shared" ca="1" si="5"/>
        <v>0</v>
      </c>
    </row>
    <row r="26" spans="1:33" x14ac:dyDescent="0.45">
      <c r="G26" s="181"/>
      <c r="I26" s="83" t="s">
        <v>191</v>
      </c>
      <c r="J26" s="77" cm="1">
        <f t="array" aca="1" ref="J26" ca="1">SUMPRODUCT((TPersonnel[Age]&gt;=50)*(TPersonnel[Age]&lt;60)*(TPersonnel[Sexe]="H"))</f>
        <v>9</v>
      </c>
      <c r="K26" s="77" cm="1">
        <f t="array" aca="1" ref="K26" ca="1">SUMPRODUCT((TPersonnel[Age]&gt;=50)*(TPersonnel[Age]&lt;60)*(TPersonnel[Sexe]="H")*(UPPER(TPersonnel[Fonction à supprimer])="OUI"))</f>
        <v>0</v>
      </c>
      <c r="L26" s="77" cm="1">
        <f t="array" aca="1" ref="L26" ca="1">SUMPRODUCT((TPersonnel[Age]&gt;=50)*(TPersonnel[Age]&lt;60)*(TPersonnel[Sexe]="F"))</f>
        <v>2</v>
      </c>
      <c r="M26" s="77" cm="1">
        <f t="array" aca="1" ref="M26" ca="1">SUMPRODUCT((TPersonnel[Age]&gt;=50)*(TPersonnel[Age]&lt;60)*(TPersonnel[Sexe]="F")*(UPPER(TPersonnel[Fonction à supprimer])="OUI"))</f>
        <v>0</v>
      </c>
      <c r="N26" s="77">
        <f t="shared" ca="1" si="5"/>
        <v>11</v>
      </c>
      <c r="O26" s="88">
        <f t="shared" ca="1" si="5"/>
        <v>0</v>
      </c>
    </row>
    <row r="27" spans="1:33" ht="14.65" thickBot="1" x14ac:dyDescent="0.5">
      <c r="G27" s="180"/>
      <c r="I27" s="84" t="s">
        <v>173</v>
      </c>
      <c r="J27" s="80" cm="1">
        <f t="array" aca="1" ref="J27" ca="1">SUMPRODUCT((TPersonnel[Age]&gt;=60)*(TPersonnel[Sexe]="H"))</f>
        <v>3</v>
      </c>
      <c r="K27" s="80" cm="1">
        <f t="array" aca="1" ref="K27" ca="1">SUMPRODUCT((TPersonnel[Age]&gt;=60)*(TPersonnel[Sexe]="H")*(UPPER(TPersonnel[Fonction à supprimer])="OUI"))</f>
        <v>0</v>
      </c>
      <c r="L27" s="80" cm="1">
        <f t="array" aca="1" ref="L27" ca="1">SUMPRODUCT((TPersonnel[Age]&gt;=60)*(TPersonnel[Sexe]="F"))</f>
        <v>1</v>
      </c>
      <c r="M27" s="80" cm="1">
        <f t="array" aca="1" ref="M27" ca="1">SUMPRODUCT((TPersonnel[Age]&gt;=60)*(TPersonnel[Sexe]="F")*(UPPER(TPersonnel[Fonction à supprimer])="OUI"))</f>
        <v>0</v>
      </c>
      <c r="N27" s="80">
        <f t="shared" ca="1" si="5"/>
        <v>4</v>
      </c>
      <c r="O27" s="89">
        <f t="shared" ca="1" si="5"/>
        <v>0</v>
      </c>
    </row>
    <row r="28" spans="1:33" x14ac:dyDescent="0.45">
      <c r="G28" s="181"/>
    </row>
    <row r="29" spans="1:33" ht="35.1" customHeight="1" x14ac:dyDescent="0.65">
      <c r="A29" s="351" t="s">
        <v>192</v>
      </c>
      <c r="B29" s="351"/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</row>
    <row r="30" spans="1:33" ht="8.1" customHeight="1" thickBot="1" x14ac:dyDescent="0.5">
      <c r="A30" s="212"/>
      <c r="B30" s="212"/>
      <c r="C30" s="212"/>
      <c r="D30" s="212"/>
      <c r="E30" s="212"/>
      <c r="F30" s="212"/>
      <c r="G30" s="213"/>
      <c r="H30" s="212"/>
      <c r="I30" s="212"/>
      <c r="J30" s="212"/>
      <c r="K30" s="212"/>
      <c r="L30" s="212"/>
      <c r="M30" s="212"/>
      <c r="N30" s="212"/>
      <c r="O30" s="212"/>
    </row>
    <row r="31" spans="1:33" ht="17.25" thickBot="1" x14ac:dyDescent="0.55000000000000004">
      <c r="A31" s="201" t="s">
        <v>193</v>
      </c>
      <c r="B31" s="202" t="s">
        <v>194</v>
      </c>
      <c r="C31" s="203" t="s">
        <v>195</v>
      </c>
      <c r="E31" s="361" t="s">
        <v>196</v>
      </c>
      <c r="F31" s="361"/>
      <c r="G31" s="361"/>
      <c r="H31" s="361"/>
      <c r="I31" s="361"/>
      <c r="J31" s="361"/>
    </row>
    <row r="32" spans="1:33" ht="15.75" x14ac:dyDescent="0.5">
      <c r="A32" s="204" t="s">
        <v>197</v>
      </c>
      <c r="B32" s="205">
        <v>0.45</v>
      </c>
      <c r="C32" s="206" t="s">
        <v>198</v>
      </c>
      <c r="E32" s="216"/>
      <c r="F32" s="217" t="s">
        <v>199</v>
      </c>
      <c r="G32" s="218" t="s">
        <v>200</v>
      </c>
      <c r="H32" s="209" t="s">
        <v>201</v>
      </c>
    </row>
    <row r="33" spans="1:15" ht="15.75" x14ac:dyDescent="0.5">
      <c r="A33" s="204" t="s">
        <v>202</v>
      </c>
      <c r="B33" s="205">
        <v>0.45</v>
      </c>
      <c r="C33" s="206" t="s">
        <v>198</v>
      </c>
      <c r="E33" s="210" t="s">
        <v>203</v>
      </c>
      <c r="F33" s="219">
        <f>A4</f>
        <v>34</v>
      </c>
      <c r="G33" s="220">
        <f>C4</f>
        <v>34</v>
      </c>
      <c r="H33" s="221">
        <f>B4</f>
        <v>0</v>
      </c>
    </row>
    <row r="34" spans="1:15" ht="15.75" x14ac:dyDescent="0.5">
      <c r="A34" s="204" t="s">
        <v>204</v>
      </c>
      <c r="B34" s="205">
        <v>0.45</v>
      </c>
      <c r="C34" s="206" t="s">
        <v>198</v>
      </c>
      <c r="E34" s="210" t="s">
        <v>205</v>
      </c>
      <c r="F34" s="222">
        <f>SUM(TPersonnel[Salaire Annuel Total])</f>
        <v>1086602.04</v>
      </c>
      <c r="G34" s="222" cm="1">
        <f t="array" ref="G34">SUMPRODUCT((UPPER(TPersonnel[Fonction à supprimer])&lt;&gt;"OUI")*TPersonnel[Salaire Annuel Total])</f>
        <v>1086602.04</v>
      </c>
      <c r="H34" s="223">
        <f>F34-G34</f>
        <v>0</v>
      </c>
    </row>
    <row r="35" spans="1:15" ht="15.75" x14ac:dyDescent="0.5">
      <c r="A35" s="204" t="s">
        <v>206</v>
      </c>
      <c r="B35" s="205">
        <f>'⚙️ Parametres'!B5</f>
        <v>0</v>
      </c>
      <c r="C35" s="206" t="s">
        <v>198</v>
      </c>
      <c r="E35" s="210" t="s">
        <v>207</v>
      </c>
      <c r="F35" s="222">
        <f>F4</f>
        <v>1575572.9580000006</v>
      </c>
      <c r="G35" s="222">
        <f>G4</f>
        <v>1575572.9580000006</v>
      </c>
      <c r="H35" s="223">
        <f>F35-G35</f>
        <v>0</v>
      </c>
    </row>
    <row r="36" spans="1:15" ht="15.75" x14ac:dyDescent="0.5">
      <c r="A36" s="204" t="s">
        <v>208</v>
      </c>
      <c r="B36" s="214">
        <f>'⚙️ Parametres'!B7</f>
        <v>3864</v>
      </c>
      <c r="C36" s="206" t="s">
        <v>209</v>
      </c>
      <c r="E36" s="224" t="s">
        <v>210</v>
      </c>
      <c r="F36" s="77"/>
      <c r="G36" s="225">
        <f>M4</f>
        <v>0</v>
      </c>
      <c r="H36" s="226"/>
    </row>
    <row r="37" spans="1:15" ht="16.149999999999999" thickBot="1" x14ac:dyDescent="0.55000000000000004">
      <c r="A37" s="207" t="s">
        <v>17</v>
      </c>
      <c r="B37" s="215">
        <v>46203</v>
      </c>
      <c r="C37" s="208" t="s">
        <v>211</v>
      </c>
      <c r="E37" s="227" t="s">
        <v>154</v>
      </c>
      <c r="F37" s="211"/>
      <c r="G37" s="228">
        <f>N4</f>
        <v>0</v>
      </c>
      <c r="H37" s="229"/>
    </row>
    <row r="38" spans="1:15" ht="5.0999999999999996" customHeight="1" thickBot="1" x14ac:dyDescent="0.5">
      <c r="G38" s="181"/>
    </row>
    <row r="39" spans="1:15" x14ac:dyDescent="0.45">
      <c r="E39" s="362" t="s">
        <v>212</v>
      </c>
      <c r="F39" s="363"/>
      <c r="G39" s="230" t="s">
        <v>213</v>
      </c>
    </row>
    <row r="40" spans="1:15" x14ac:dyDescent="0.45">
      <c r="E40" s="357" t="s">
        <v>214</v>
      </c>
      <c r="F40" s="358"/>
      <c r="G40" s="231">
        <f>J4</f>
        <v>0</v>
      </c>
    </row>
    <row r="41" spans="1:15" x14ac:dyDescent="0.45">
      <c r="E41" s="357" t="s">
        <v>215</v>
      </c>
      <c r="F41" s="358"/>
      <c r="G41" s="231">
        <f>K4</f>
        <v>0</v>
      </c>
    </row>
    <row r="42" spans="1:15" ht="14.65" thickBot="1" x14ac:dyDescent="0.5">
      <c r="E42" s="359" t="s">
        <v>216</v>
      </c>
      <c r="F42" s="360"/>
      <c r="G42" s="232">
        <f>L4</f>
        <v>0</v>
      </c>
    </row>
    <row r="45" spans="1:15" x14ac:dyDescent="0.45">
      <c r="A45" s="282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2"/>
    </row>
  </sheetData>
  <mergeCells count="12">
    <mergeCell ref="E41:F41"/>
    <mergeCell ref="E42:F42"/>
    <mergeCell ref="E31:J31"/>
    <mergeCell ref="E39:F39"/>
    <mergeCell ref="E40:F40"/>
    <mergeCell ref="A29:O29"/>
    <mergeCell ref="I21:O21"/>
    <mergeCell ref="A1:T1"/>
    <mergeCell ref="A7:G7"/>
    <mergeCell ref="I7:O7"/>
    <mergeCell ref="A15:G15"/>
    <mergeCell ref="I16:O16"/>
  </mergeCells>
  <conditionalFormatting sqref="C9:C11">
    <cfRule type="cellIs" dxfId="6" priority="1" operator="greaterThan">
      <formula>0</formula>
    </cfRule>
  </conditionalFormatting>
  <conditionalFormatting sqref="C17:C18">
    <cfRule type="cellIs" dxfId="5" priority="3" operator="greaterThan">
      <formula>0</formula>
    </cfRule>
  </conditionalFormatting>
  <conditionalFormatting sqref="C12:D12 B9:B14 C13:C1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{950C06DC-C6C8-4C18-87C2-14A481DBC784}</x14:id>
        </ext>
      </extLst>
    </cfRule>
  </conditionalFormatting>
  <conditionalFormatting sqref="J9:J14 K1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{23CC0876-CD48-409B-8269-0C7DA9223BBB}</x14:id>
        </ext>
      </extLst>
    </cfRule>
  </conditionalFormatting>
  <conditionalFormatting sqref="K9:K12">
    <cfRule type="cellIs" dxfId="4" priority="2" operator="greaterThan">
      <formula>0</formula>
    </cfRule>
  </conditionalFormatting>
  <conditionalFormatting sqref="K18:K19">
    <cfRule type="cellIs" dxfId="3" priority="4" operator="greater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0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0C06DC-C6C8-4C18-87C2-14A481DBC784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C12:D12 B9:B14 C13:C14</xm:sqref>
        </x14:conditionalFormatting>
        <x14:conditionalFormatting xmlns:xm="http://schemas.microsoft.com/office/excel/2006/main">
          <x14:cfRule type="dataBar" id="{23CC0876-CD48-409B-8269-0C7DA9223BBB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J9:J14 K13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52CC-3E61-47AD-8C30-474539EA23A7}">
  <sheetPr>
    <pageSetUpPr fitToPage="1"/>
  </sheetPr>
  <dimension ref="A1:K34"/>
  <sheetViews>
    <sheetView showGridLines="0" zoomScaleNormal="100" workbookViewId="0">
      <pane ySplit="2" topLeftCell="A3" activePane="bottomLeft" state="frozen"/>
      <selection pane="bottomLeft" activeCell="A40" sqref="A40"/>
    </sheetView>
  </sheetViews>
  <sheetFormatPr baseColWidth="10" defaultColWidth="11.3984375" defaultRowHeight="14.25" x14ac:dyDescent="0.45"/>
  <cols>
    <col min="1" max="1" width="35.265625" style="157" customWidth="1"/>
    <col min="2" max="6" width="15.1328125" customWidth="1"/>
    <col min="7" max="7" width="2.73046875" customWidth="1"/>
    <col min="8" max="8" width="34" style="157" customWidth="1"/>
    <col min="9" max="11" width="16" customWidth="1"/>
    <col min="12" max="13" width="11.73046875" bestFit="1" customWidth="1"/>
    <col min="14" max="14" width="5.73046875" bestFit="1" customWidth="1"/>
    <col min="15" max="15" width="8" bestFit="1" customWidth="1"/>
    <col min="16" max="16" width="7.1328125" bestFit="1" customWidth="1"/>
    <col min="17" max="17" width="8.1328125" bestFit="1" customWidth="1"/>
    <col min="18" max="18" width="7.265625" bestFit="1" customWidth="1"/>
    <col min="19" max="19" width="10.265625" bestFit="1" customWidth="1"/>
    <col min="20" max="20" width="11.73046875" bestFit="1" customWidth="1"/>
  </cols>
  <sheetData>
    <row r="1" spans="1:11" ht="21" x14ac:dyDescent="0.45">
      <c r="A1" s="364" t="s">
        <v>217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</row>
    <row r="3" spans="1:11" ht="43.15" thickBot="1" x14ac:dyDescent="0.5">
      <c r="A3" s="151" t="s">
        <v>218</v>
      </c>
      <c r="H3" s="169" t="s">
        <v>219</v>
      </c>
    </row>
    <row r="4" spans="1:11" x14ac:dyDescent="0.45">
      <c r="A4" s="152" t="s">
        <v>5</v>
      </c>
      <c r="B4" s="93" t="s">
        <v>50</v>
      </c>
      <c r="C4" s="92" t="s">
        <v>159</v>
      </c>
      <c r="D4" s="92" t="s">
        <v>220</v>
      </c>
      <c r="E4" s="94" t="s">
        <v>221</v>
      </c>
      <c r="F4" s="95" t="s">
        <v>165</v>
      </c>
      <c r="H4" s="152" t="s">
        <v>10</v>
      </c>
      <c r="I4" s="92" t="s">
        <v>203</v>
      </c>
      <c r="J4" s="94" t="s">
        <v>221</v>
      </c>
      <c r="K4" s="95" t="s">
        <v>165</v>
      </c>
    </row>
    <row r="5" spans="1:11" x14ac:dyDescent="0.45">
      <c r="A5" s="153" t="str">
        <f>IFERROR(INDEX(_xlfn.ANCHORARRAY('⚙️ Parametres'!$J$3),1),"")</f>
        <v>PUSIGNAN</v>
      </c>
      <c r="B5" s="96">
        <f>COUNTIFS(TPersonnel[Site],A5,TPersonnel[Type de contrat],"CDI")</f>
        <v>13</v>
      </c>
      <c r="C5" s="96">
        <f>COUNTIFS(TPersonnel[Site],A5,TPersonnel[Type de contrat],"CDD")</f>
        <v>0</v>
      </c>
      <c r="D5" s="97">
        <f t="shared" ref="D5:D7" si="0">B5+C5</f>
        <v>13</v>
      </c>
      <c r="E5" s="98" cm="1">
        <f t="array" ref="E5">SUMPRODUCT((UPPER(TPersonnel[Fonction à supprimer])="OUI")*(TPersonnel[Site]=A5))</f>
        <v>0</v>
      </c>
      <c r="F5" s="99">
        <f t="shared" ref="F5:F7" si="1">IF(D5=0,"-",E5/D5)</f>
        <v>0</v>
      </c>
      <c r="H5" s="158" t="s">
        <v>179</v>
      </c>
      <c r="I5" s="115">
        <f>COUNTIF(TPersonnel[Sexe],"H")</f>
        <v>28</v>
      </c>
      <c r="J5" s="116" cm="1">
        <f t="array" ref="J5">SUMPRODUCT((UPPER(TPersonnel[Fonction à supprimer])="OUI")*(TPersonnel[Sexe]="H"))</f>
        <v>0</v>
      </c>
      <c r="K5" s="131">
        <f>IF(I5=0,"-",J5/I5)</f>
        <v>0</v>
      </c>
    </row>
    <row r="6" spans="1:11" x14ac:dyDescent="0.45">
      <c r="A6" s="154" t="str">
        <f>IFERROR(INDEX(_xlfn.ANCHORARRAY('⚙️ Parametres'!$J$3),2),"")</f>
        <v>ROGNAC</v>
      </c>
      <c r="B6" s="100">
        <f>COUNTIFS(TPersonnel[Site],A6,TPersonnel[Type de contrat],"CDI")</f>
        <v>6</v>
      </c>
      <c r="C6" s="100">
        <f>COUNTIFS(TPersonnel[Site],A6,TPersonnel[Type de contrat],"CDD")</f>
        <v>0</v>
      </c>
      <c r="D6" s="101">
        <f t="shared" si="0"/>
        <v>6</v>
      </c>
      <c r="E6" s="102" cm="1">
        <f t="array" ref="E6">SUMPRODUCT((UPPER(TPersonnel[Fonction à supprimer])="OUI")*(TPersonnel[Site]=A6))</f>
        <v>0</v>
      </c>
      <c r="F6" s="103">
        <f t="shared" si="1"/>
        <v>0</v>
      </c>
      <c r="H6" s="159" t="s">
        <v>181</v>
      </c>
      <c r="I6" s="119">
        <f>COUNTIF(TPersonnel[Sexe],"F")</f>
        <v>6</v>
      </c>
      <c r="J6" s="120" cm="1">
        <f t="array" ref="J6">SUMPRODUCT((UPPER(TPersonnel[Fonction à supprimer])="OUI")*(TPersonnel[Sexe]="F"))</f>
        <v>0</v>
      </c>
      <c r="K6" s="132">
        <f>IF(I6=0,"-",J6/I6)</f>
        <v>0</v>
      </c>
    </row>
    <row r="7" spans="1:11" ht="14.65" thickBot="1" x14ac:dyDescent="0.5">
      <c r="A7" s="155" t="str">
        <f>IFERROR(INDEX(_xlfn.ANCHORARRAY('⚙️ Parametres'!$J$3),3),"")</f>
        <v>VALENCE</v>
      </c>
      <c r="B7" s="104">
        <f>COUNTIFS(TPersonnel[Site],A7,TPersonnel[Type de contrat],"CDI")</f>
        <v>15</v>
      </c>
      <c r="C7" s="104">
        <f>COUNTIFS(TPersonnel[Site],A7,TPersonnel[Type de contrat],"CDD")</f>
        <v>0</v>
      </c>
      <c r="D7" s="105">
        <f t="shared" si="0"/>
        <v>15</v>
      </c>
      <c r="E7" s="106" cm="1">
        <f t="array" ref="E7">SUMPRODUCT((UPPER(TPersonnel[Fonction à supprimer])="OUI")*(TPersonnel[Site]=A7))</f>
        <v>0</v>
      </c>
      <c r="F7" s="107">
        <f t="shared" si="1"/>
        <v>0</v>
      </c>
      <c r="H7" s="161" t="s">
        <v>222</v>
      </c>
      <c r="I7" s="127">
        <f>SUM(I5:I6)</f>
        <v>34</v>
      </c>
      <c r="J7" s="127">
        <f>SUM(J5:J6)</f>
        <v>0</v>
      </c>
      <c r="K7" s="133">
        <f>IF(I7=0,"-",J7/I7)</f>
        <v>0</v>
      </c>
    </row>
    <row r="8" spans="1:11" ht="14.65" thickBot="1" x14ac:dyDescent="0.5">
      <c r="A8" s="156" t="s">
        <v>222</v>
      </c>
      <c r="B8" s="108">
        <f>SUM(B5:B7)</f>
        <v>34</v>
      </c>
      <c r="C8" s="108">
        <f>SUM(C5:C7)</f>
        <v>0</v>
      </c>
      <c r="D8" s="108">
        <f>SUM(D5:D7)</f>
        <v>34</v>
      </c>
      <c r="E8" s="108">
        <f>SUM(E5:E7)</f>
        <v>0</v>
      </c>
      <c r="F8" s="110">
        <f>IF(D8=0,"-",E8/D8)</f>
        <v>0</v>
      </c>
      <c r="H8" s="173"/>
      <c r="I8" s="140"/>
      <c r="J8" s="140"/>
      <c r="K8" s="142"/>
    </row>
    <row r="9" spans="1:11" x14ac:dyDescent="0.45">
      <c r="A9" s="173"/>
      <c r="B9" s="109"/>
      <c r="C9" s="109"/>
      <c r="D9" s="109"/>
      <c r="E9" s="109"/>
      <c r="F9" s="174"/>
      <c r="H9" s="173"/>
      <c r="I9" s="140"/>
      <c r="J9" s="140"/>
      <c r="K9" s="142"/>
    </row>
    <row r="10" spans="1:11" x14ac:dyDescent="0.45">
      <c r="A10" s="173"/>
      <c r="B10" s="109"/>
      <c r="C10" s="109"/>
      <c r="D10" s="109"/>
      <c r="E10" s="109"/>
      <c r="F10" s="174"/>
      <c r="H10" s="173"/>
      <c r="I10" s="140"/>
      <c r="J10" s="140"/>
      <c r="K10" s="142"/>
    </row>
    <row r="12" spans="1:11" ht="43.15" thickBot="1" x14ac:dyDescent="0.5">
      <c r="A12" s="151" t="s">
        <v>223</v>
      </c>
      <c r="H12" s="170" t="s">
        <v>224</v>
      </c>
    </row>
    <row r="13" spans="1:11" x14ac:dyDescent="0.45">
      <c r="A13" s="152" t="s">
        <v>8</v>
      </c>
      <c r="B13" s="92" t="s">
        <v>203</v>
      </c>
      <c r="C13" s="94" t="s">
        <v>221</v>
      </c>
      <c r="D13" s="92" t="s">
        <v>225</v>
      </c>
      <c r="E13" s="92" t="s">
        <v>165</v>
      </c>
      <c r="F13" s="95" t="s">
        <v>226</v>
      </c>
      <c r="H13" s="152" t="s">
        <v>227</v>
      </c>
      <c r="I13" s="92" t="s">
        <v>203</v>
      </c>
      <c r="J13" s="94" t="s">
        <v>221</v>
      </c>
      <c r="K13" s="95" t="s">
        <v>165</v>
      </c>
    </row>
    <row r="14" spans="1:11" x14ac:dyDescent="0.45">
      <c r="A14" s="158" t="str">
        <f>IFERROR(INDEX(_xlfn.ANCHORARRAY('⚙️ Parametres'!$K$3),1),"")</f>
        <v>Agent de maîtrise</v>
      </c>
      <c r="B14" s="115">
        <f>IF(A14="","",COUNTIF(TPersonnel[Catégorie],A14))</f>
        <v>6</v>
      </c>
      <c r="C14" s="116" cm="1">
        <f t="array" ref="C14">IF(A14="","",SUMPRODUCT((UPPER(TPersonnel[Fonction à supprimer])="OUI")*(TPersonnel[Catégorie]=A14)))</f>
        <v>0</v>
      </c>
      <c r="D14" s="115">
        <f>IF(A14="","",B14-C14)</f>
        <v>6</v>
      </c>
      <c r="E14" s="117">
        <f>IF(OR(A14="",B14=0),"-",C14/B14)</f>
        <v>0</v>
      </c>
      <c r="F14" s="118" cm="1">
        <f t="array" ref="F14">IF(A14="","",SUMPRODUCT((UPPER(TPersonnel[Fonction à supprimer])="OUI")*(TPersonnel[Catégorie]=A14)*TPersonnel[COÛT TOTAL]))</f>
        <v>0</v>
      </c>
      <c r="H14" s="163" t="s">
        <v>228</v>
      </c>
      <c r="I14" s="115">
        <f ca="1">COUNTIFS(TPersonnel[Age],"&lt;30")</f>
        <v>6</v>
      </c>
      <c r="J14" s="116" cm="1">
        <f t="array" aca="1" ref="J14" ca="1">SUMPRODUCT((TPersonnel[Age]&lt;30)*(UPPER(TPersonnel[Fonction à supprimer])="OUI"))</f>
        <v>0</v>
      </c>
      <c r="K14" s="131">
        <f t="shared" ref="K14:K19" ca="1" si="2">IF(I14=0,"-",J14/I14)</f>
        <v>0</v>
      </c>
    </row>
    <row r="15" spans="1:11" x14ac:dyDescent="0.45">
      <c r="A15" s="159" t="str">
        <f>IFERROR(INDEX(_xlfn.ANCHORARRAY('⚙️ Parametres'!$K$3),2),"")</f>
        <v>Apprenti</v>
      </c>
      <c r="B15" s="119">
        <f>IF(A15="","",COUNTIF(TPersonnel[Catégorie],A15))</f>
        <v>2</v>
      </c>
      <c r="C15" s="120" cm="1">
        <f t="array" ref="C15">IF(A15="","",SUMPRODUCT((UPPER(TPersonnel[Fonction à supprimer])="OUI")*(TPersonnel[Catégorie]=A15)))</f>
        <v>0</v>
      </c>
      <c r="D15" s="119">
        <f>IF(A15="","",B15-C15)</f>
        <v>2</v>
      </c>
      <c r="E15" s="121">
        <f>IF(OR(A15="",B15=0),"-",C15/B15)</f>
        <v>0</v>
      </c>
      <c r="F15" s="122" cm="1">
        <f t="array" ref="F15">IF(A15="","",SUMPRODUCT((UPPER(TPersonnel[Fonction à supprimer])="OUI")*(TPersonnel[Catégorie]=A15)*TPersonnel[COÛT TOTAL]))</f>
        <v>0</v>
      </c>
      <c r="H15" s="166" t="s">
        <v>229</v>
      </c>
      <c r="I15" s="119">
        <f ca="1">COUNTIFS(TPersonnel[Age],"&gt;=30",TPersonnel[Age],"&lt;40")</f>
        <v>1</v>
      </c>
      <c r="J15" s="120" cm="1">
        <f t="array" aca="1" ref="J15" ca="1">SUMPRODUCT((TPersonnel[Age]&gt;=30)*(TPersonnel[Age]&lt;40)*(UPPER(TPersonnel[Fonction à supprimer])="OUI"))</f>
        <v>0</v>
      </c>
      <c r="K15" s="132">
        <f t="shared" ca="1" si="2"/>
        <v>0</v>
      </c>
    </row>
    <row r="16" spans="1:11" x14ac:dyDescent="0.45">
      <c r="A16" s="160" t="str">
        <f>IFERROR(INDEX(_xlfn.ANCHORARRAY('⚙️ Parametres'!$K$3),3),"")</f>
        <v>Employé</v>
      </c>
      <c r="B16" s="123">
        <f>IF(A16="","",COUNTIF(TPersonnel[Catégorie],A16))</f>
        <v>2</v>
      </c>
      <c r="C16" s="124" cm="1">
        <f t="array" ref="C16">IF(A16="","",SUMPRODUCT((UPPER(TPersonnel[Fonction à supprimer])="OUI")*(TPersonnel[Catégorie]=A16)))</f>
        <v>0</v>
      </c>
      <c r="D16" s="123">
        <f>IF(A16="","",B16-C16)</f>
        <v>2</v>
      </c>
      <c r="E16" s="125">
        <f>IF(OR(A16="",B16=0),"-",C16/B16)</f>
        <v>0</v>
      </c>
      <c r="F16" s="126" cm="1">
        <f t="array" ref="F16">IF(A16="","",SUMPRODUCT((UPPER(TPersonnel[Fonction à supprimer])="OUI")*(TPersonnel[Catégorie]=A16)*TPersonnel[COÛT TOTAL]))</f>
        <v>0</v>
      </c>
      <c r="H16" s="165" t="s">
        <v>230</v>
      </c>
      <c r="I16" s="123">
        <f ca="1">COUNTIFS(TPersonnel[Age],"&gt;=40",TPersonnel[Age],"&lt;50")</f>
        <v>12</v>
      </c>
      <c r="J16" s="124" cm="1">
        <f t="array" aca="1" ref="J16" ca="1">SUMPRODUCT((TPersonnel[Age]&gt;=40)*(TPersonnel[Age]&lt;50)*(UPPER(TPersonnel[Fonction à supprimer])="OUI"))</f>
        <v>0</v>
      </c>
      <c r="K16" s="134">
        <f t="shared" ca="1" si="2"/>
        <v>0</v>
      </c>
    </row>
    <row r="17" spans="1:11" x14ac:dyDescent="0.45">
      <c r="A17" s="159" t="str">
        <f>IFERROR(INDEX(_xlfn.ANCHORARRAY('⚙️ Parametres'!$K$3),4),"")</f>
        <v>Ouvrier</v>
      </c>
      <c r="B17" s="119">
        <f>IF(A17="","",COUNTIF(TPersonnel[Catégorie],A17))</f>
        <v>24</v>
      </c>
      <c r="C17" s="120" cm="1">
        <f t="array" ref="C17">IF(A17="","",SUMPRODUCT((UPPER(TPersonnel[Fonction à supprimer])="OUI")*(TPersonnel[Catégorie]=A17)))</f>
        <v>0</v>
      </c>
      <c r="D17" s="119">
        <f>IF(A17="","",B17-C17)</f>
        <v>24</v>
      </c>
      <c r="E17" s="121">
        <f>IF(OR(A17="",B17=0),"-",C17/B17)</f>
        <v>0</v>
      </c>
      <c r="F17" s="122" cm="1">
        <f t="array" ref="F17">IF(A17="","",SUMPRODUCT((UPPER(TPersonnel[Fonction à supprimer])="OUI")*(TPersonnel[Catégorie]=A17)*TPersonnel[COÛT TOTAL]))</f>
        <v>0</v>
      </c>
      <c r="H17" s="166" t="s">
        <v>231</v>
      </c>
      <c r="I17" s="119">
        <f ca="1">COUNTIFS(TPersonnel[Age],"&gt;=50",TPersonnel[Age],"&lt;55")</f>
        <v>8</v>
      </c>
      <c r="J17" s="120" cm="1">
        <f t="array" aca="1" ref="J17" ca="1">SUMPRODUCT((TPersonnel[Age]&gt;=50)*(TPersonnel[Age]&lt;55)*(UPPER(TPersonnel[Fonction à supprimer])="OUI"))</f>
        <v>0</v>
      </c>
      <c r="K17" s="132">
        <f t="shared" ca="1" si="2"/>
        <v>0</v>
      </c>
    </row>
    <row r="18" spans="1:11" ht="14.65" thickBot="1" x14ac:dyDescent="0.5">
      <c r="A18" s="161" t="s">
        <v>222</v>
      </c>
      <c r="B18" s="127">
        <f>SUM(B14:B17)</f>
        <v>34</v>
      </c>
      <c r="C18" s="127">
        <f>SUM(C14:C17)</f>
        <v>0</v>
      </c>
      <c r="D18" s="127">
        <f>SUM(D14:D17)</f>
        <v>34</v>
      </c>
      <c r="E18" s="128">
        <f>IF(B18=0,"-",C18/B18)</f>
        <v>0</v>
      </c>
      <c r="F18" s="130">
        <f>SUM(F14:F17)</f>
        <v>0</v>
      </c>
      <c r="H18" s="165" t="s">
        <v>232</v>
      </c>
      <c r="I18" s="123">
        <f ca="1">COUNTIFS(TPersonnel[Age],"&gt;=55")</f>
        <v>7</v>
      </c>
      <c r="J18" s="124" cm="1">
        <f t="array" aca="1" ref="J18" ca="1">SUMPRODUCT((TPersonnel[Age]&gt;=55)*(UPPER(TPersonnel[Fonction à supprimer])="OUI"))</f>
        <v>0</v>
      </c>
      <c r="K18" s="134">
        <f t="shared" ca="1" si="2"/>
        <v>0</v>
      </c>
    </row>
    <row r="19" spans="1:11" ht="14.65" thickBot="1" x14ac:dyDescent="0.5">
      <c r="H19" s="167" t="s">
        <v>222</v>
      </c>
      <c r="I19" s="127">
        <f ca="1">SUM(I14:I18)</f>
        <v>34</v>
      </c>
      <c r="J19" s="127">
        <f ca="1">SUM(J14:J18)</f>
        <v>0</v>
      </c>
      <c r="K19" s="133">
        <f t="shared" ca="1" si="2"/>
        <v>0</v>
      </c>
    </row>
    <row r="22" spans="1:11" ht="28.9" thickBot="1" x14ac:dyDescent="0.5">
      <c r="A22" s="162" t="s">
        <v>233</v>
      </c>
      <c r="H22" s="171" t="s">
        <v>234</v>
      </c>
    </row>
    <row r="23" spans="1:11" x14ac:dyDescent="0.45">
      <c r="A23" s="152" t="s">
        <v>6</v>
      </c>
      <c r="B23" s="92" t="s">
        <v>203</v>
      </c>
      <c r="C23" s="94" t="s">
        <v>221</v>
      </c>
      <c r="D23" s="92" t="s">
        <v>225</v>
      </c>
      <c r="E23" s="92" t="s">
        <v>165</v>
      </c>
      <c r="F23" s="95" t="s">
        <v>235</v>
      </c>
      <c r="H23" s="172" t="s">
        <v>5</v>
      </c>
      <c r="I23" s="146" t="s">
        <v>221</v>
      </c>
      <c r="J23" s="145" t="s">
        <v>226</v>
      </c>
      <c r="K23" s="147" t="s">
        <v>236</v>
      </c>
    </row>
    <row r="24" spans="1:11" x14ac:dyDescent="0.45">
      <c r="A24" s="163" t="str">
        <f>IFERROR(INDEX(_xlfn.ANCHORARRAY('⚙️ Parametres'!$L$3),1),"")</f>
        <v>Affréteur</v>
      </c>
      <c r="B24" s="111">
        <f>COUNTIF(TPersonnel[Fonction],A24)</f>
        <v>2</v>
      </c>
      <c r="C24" s="112" cm="1">
        <f t="array" ref="C24">SUMPRODUCT((UPPER(TPersonnel[Fonction à supprimer])="OUI")*(TPersonnel[Fonction]=A24))</f>
        <v>0</v>
      </c>
      <c r="D24" s="111">
        <f>B24-C24</f>
        <v>2</v>
      </c>
      <c r="E24" s="113">
        <f>IF(B24=0,"-",C24/B24)</f>
        <v>0</v>
      </c>
      <c r="F24" s="114">
        <f>IFERROR(AVERAGEIF(TPersonnel[Fonction],A24,TPersonnel[Salaire Brut Mensuel (Base brut CP)]),0)</f>
        <v>2775</v>
      </c>
      <c r="H24" s="163" t="str">
        <f>IFERROR(INDEX(_xlfn.ANCHORARRAY('⚙️ Parametres'!$J$3),1),"")</f>
        <v>PUSIGNAN</v>
      </c>
      <c r="I24" s="116" cm="1">
        <f t="array" ref="I24">SUMPRODUCT((UPPER(TPersonnel[Fonction à supprimer])="OUI")*(TPersonnel[Site]=H24))</f>
        <v>0</v>
      </c>
      <c r="J24" s="148" cm="1">
        <f t="array" ref="J24">SUMPRODUCT((UPPER(TPersonnel[Fonction à supprimer])="OUI")*(TPersonnel[Site]=H24)*TPersonnel[COÛT TOTAL])</f>
        <v>0</v>
      </c>
      <c r="K24" s="118">
        <f t="shared" ref="K24:K26" si="3">IFERROR(J24/I24,0)</f>
        <v>0</v>
      </c>
    </row>
    <row r="25" spans="1:11" x14ac:dyDescent="0.45">
      <c r="A25" s="164" t="str">
        <f>IFERROR(INDEX(_xlfn.ANCHORARRAY('⚙️ Parametres'!$L$3),2),"")</f>
        <v>Assistant exploitation</v>
      </c>
      <c r="B25" s="135">
        <f>COUNTIF(TPersonnel[Fonction],A25)</f>
        <v>1</v>
      </c>
      <c r="C25" s="136" cm="1">
        <f t="array" ref="C25">SUMPRODUCT((UPPER(TPersonnel[Fonction à supprimer])="OUI")*(TPersonnel[Fonction]=A25))</f>
        <v>0</v>
      </c>
      <c r="D25" s="135">
        <f t="shared" ref="D25:D33" si="4">B25-C25</f>
        <v>1</v>
      </c>
      <c r="E25" s="137">
        <f t="shared" ref="E25:E33" si="5">IF(B25=0,"-",C25/B25)</f>
        <v>0</v>
      </c>
      <c r="F25" s="138">
        <f>IFERROR(AVERAGEIF(TPersonnel[Fonction],A25,TPersonnel[Salaire Brut Mensuel (Base brut CP)]),0)</f>
        <v>1010.72</v>
      </c>
      <c r="H25" s="166" t="str">
        <f>IFERROR(INDEX(_xlfn.ANCHORARRAY('⚙️ Parametres'!$J$3),2),"")</f>
        <v>ROGNAC</v>
      </c>
      <c r="I25" s="120" cm="1">
        <f t="array" ref="I25">SUMPRODUCT((UPPER(TPersonnel[Fonction à supprimer])="OUI")*(TPersonnel[Site]=H25))</f>
        <v>0</v>
      </c>
      <c r="J25" s="149" cm="1">
        <f t="array" ref="J25">SUMPRODUCT((UPPER(TPersonnel[Fonction à supprimer])="OUI")*(TPersonnel[Site]=H25)*TPersonnel[COÛT TOTAL])</f>
        <v>0</v>
      </c>
      <c r="K25" s="122">
        <f t="shared" si="3"/>
        <v>0</v>
      </c>
    </row>
    <row r="26" spans="1:11" x14ac:dyDescent="0.45">
      <c r="A26" s="165" t="str">
        <f>IFERROR(INDEX(_xlfn.ANCHORARRAY('⚙️ Parametres'!$L$3),3),"")</f>
        <v>Assistante exploitation</v>
      </c>
      <c r="B26" s="111">
        <f>COUNTIF(TPersonnel[Fonction],A26)</f>
        <v>2</v>
      </c>
      <c r="C26" s="112" cm="1">
        <f t="array" ref="C26">SUMPRODUCT((UPPER(TPersonnel[Fonction à supprimer])="OUI")*(TPersonnel[Fonction]=A26))</f>
        <v>0</v>
      </c>
      <c r="D26" s="111">
        <f t="shared" si="4"/>
        <v>2</v>
      </c>
      <c r="E26" s="113">
        <f t="shared" si="5"/>
        <v>0</v>
      </c>
      <c r="F26" s="114">
        <f>IFERROR(AVERAGEIF(TPersonnel[Fonction],A26,TPersonnel[Salaire Brut Mensuel (Base brut CP)]),0)</f>
        <v>1755.3600000000001</v>
      </c>
      <c r="H26" s="165" t="str">
        <f>IFERROR(INDEX(_xlfn.ANCHORARRAY('⚙️ Parametres'!$J$3),3),"")</f>
        <v>VALENCE</v>
      </c>
      <c r="I26" s="124" cm="1">
        <f t="array" ref="I26">SUMPRODUCT((UPPER(TPersonnel[Fonction à supprimer])="OUI")*(TPersonnel[Site]=H26))</f>
        <v>0</v>
      </c>
      <c r="J26" s="150" cm="1">
        <f t="array" ref="J26">SUMPRODUCT((UPPER(TPersonnel[Fonction à supprimer])="OUI")*(TPersonnel[Site]=H26)*TPersonnel[COÛT TOTAL])</f>
        <v>0</v>
      </c>
      <c r="K26" s="126">
        <f t="shared" si="3"/>
        <v>0</v>
      </c>
    </row>
    <row r="27" spans="1:11" ht="14.65" thickBot="1" x14ac:dyDescent="0.5">
      <c r="A27" s="166" t="str">
        <f>IFERROR(INDEX(_xlfn.ANCHORARRAY('⚙️ Parametres'!$L$3),4),"")</f>
        <v>Chauffeur PL</v>
      </c>
      <c r="B27" s="135">
        <f>COUNTIF(TPersonnel[Fonction],A27)</f>
        <v>8</v>
      </c>
      <c r="C27" s="136" cm="1">
        <f t="array" ref="C27">SUMPRODUCT((UPPER(TPersonnel[Fonction à supprimer])="OUI")*(TPersonnel[Fonction]=A27))</f>
        <v>0</v>
      </c>
      <c r="D27" s="135">
        <f t="shared" si="4"/>
        <v>8</v>
      </c>
      <c r="E27" s="137">
        <f t="shared" si="5"/>
        <v>0</v>
      </c>
      <c r="F27" s="138">
        <f>IFERROR(AVERAGEIF(TPersonnel[Fonction],A27,TPersonnel[Salaire Brut Mensuel (Base brut CP)]),0)</f>
        <v>2812.51125</v>
      </c>
      <c r="H27" s="167" t="s">
        <v>222</v>
      </c>
      <c r="I27" s="127">
        <f>SUM(I24:I26)</f>
        <v>0</v>
      </c>
      <c r="J27" s="129">
        <f>SUM(J24:J26)</f>
        <v>0</v>
      </c>
      <c r="K27" s="130">
        <f>IFERROR(J27/I27,0)</f>
        <v>0</v>
      </c>
    </row>
    <row r="28" spans="1:11" x14ac:dyDescent="0.45">
      <c r="A28" s="165" t="str">
        <f>IFERROR(INDEX(_xlfn.ANCHORARRAY('⚙️ Parametres'!$L$3),5),"")</f>
        <v>Chauffeur SPL</v>
      </c>
      <c r="B28" s="111">
        <f>COUNTIF(TPersonnel[Fonction],A28)</f>
        <v>3</v>
      </c>
      <c r="C28" s="112" cm="1">
        <f t="array" ref="C28">SUMPRODUCT((UPPER(TPersonnel[Fonction à supprimer])="OUI")*(TPersonnel[Fonction]=A28))</f>
        <v>0</v>
      </c>
      <c r="D28" s="111">
        <f t="shared" si="4"/>
        <v>3</v>
      </c>
      <c r="E28" s="113">
        <f t="shared" si="5"/>
        <v>0</v>
      </c>
      <c r="F28" s="114">
        <f>IFERROR(AVERAGEIF(TPersonnel[Fonction],A28,TPersonnel[Salaire Brut Mensuel (Base brut CP)]),0)</f>
        <v>2601.123333333333</v>
      </c>
    </row>
    <row r="29" spans="1:11" x14ac:dyDescent="0.45">
      <c r="A29" s="166" t="str">
        <f>IFERROR(INDEX(_xlfn.ANCHORARRAY('⚙️ Parametres'!$L$3),6),"")</f>
        <v>Chef de quai</v>
      </c>
      <c r="B29" s="135">
        <f>COUNTIF(TPersonnel[Fonction],A29)</f>
        <v>2</v>
      </c>
      <c r="C29" s="136" cm="1">
        <f t="array" ref="C29">SUMPRODUCT((UPPER(TPersonnel[Fonction à supprimer])="OUI")*(TPersonnel[Fonction]=A29))</f>
        <v>0</v>
      </c>
      <c r="D29" s="135">
        <f t="shared" si="4"/>
        <v>2</v>
      </c>
      <c r="E29" s="137">
        <f t="shared" si="5"/>
        <v>0</v>
      </c>
      <c r="F29" s="138">
        <f>IFERROR(AVERAGEIF(TPersonnel[Fonction],A29,TPersonnel[Salaire Brut Mensuel (Base brut CP)]),0)</f>
        <v>2665.91</v>
      </c>
    </row>
    <row r="30" spans="1:11" x14ac:dyDescent="0.45">
      <c r="A30" s="165" t="str">
        <f>IFERROR(INDEX(_xlfn.ANCHORARRAY('⚙️ Parametres'!$L$3),7),"")</f>
        <v>Chef de Quai Temp</v>
      </c>
      <c r="B30" s="111">
        <f>COUNTIF(TPersonnel[Fonction],A30)</f>
        <v>1</v>
      </c>
      <c r="C30" s="112" cm="1">
        <f t="array" ref="C30">SUMPRODUCT((UPPER(TPersonnel[Fonction à supprimer])="OUI")*(TPersonnel[Fonction]=A30))</f>
        <v>0</v>
      </c>
      <c r="D30" s="111">
        <f t="shared" si="4"/>
        <v>1</v>
      </c>
      <c r="E30" s="113">
        <f t="shared" si="5"/>
        <v>0</v>
      </c>
      <c r="F30" s="114">
        <f>IFERROR(AVERAGEIF(TPersonnel[Fonction],A30,TPersonnel[Salaire Brut Mensuel (Base brut CP)]),0)</f>
        <v>2687.99</v>
      </c>
    </row>
    <row r="31" spans="1:11" x14ac:dyDescent="0.45">
      <c r="A31" s="166" t="str">
        <f>IFERROR(INDEX(_xlfn.ANCHORARRAY('⚙️ Parametres'!$L$3),8),"")</f>
        <v>Commerciale</v>
      </c>
      <c r="B31" s="135">
        <f>COUNTIF(TPersonnel[Fonction],A31)</f>
        <v>1</v>
      </c>
      <c r="C31" s="136" cm="1">
        <f t="array" ref="C31">SUMPRODUCT((UPPER(TPersonnel[Fonction à supprimer])="OUI")*(TPersonnel[Fonction]=A31))</f>
        <v>0</v>
      </c>
      <c r="D31" s="135">
        <f t="shared" si="4"/>
        <v>1</v>
      </c>
      <c r="E31" s="137">
        <f t="shared" si="5"/>
        <v>0</v>
      </c>
      <c r="F31" s="138">
        <f>IFERROR(AVERAGEIF(TPersonnel[Fonction],A31,TPersonnel[Salaire Brut Mensuel (Base brut CP)]),0)</f>
        <v>2852</v>
      </c>
    </row>
    <row r="32" spans="1:11" x14ac:dyDescent="0.45">
      <c r="A32" s="165" t="str">
        <f>IFERROR(INDEX(_xlfn.ANCHORARRAY('⚙️ Parametres'!$L$3),9),"")</f>
        <v>Conducteur PL</v>
      </c>
      <c r="B32" s="111">
        <f>COUNTIF(TPersonnel[Fonction],A32)</f>
        <v>9</v>
      </c>
      <c r="C32" s="112" cm="1">
        <f t="array" ref="C32">SUMPRODUCT((UPPER(TPersonnel[Fonction à supprimer])="OUI")*(TPersonnel[Fonction]=A32))</f>
        <v>0</v>
      </c>
      <c r="D32" s="111">
        <f t="shared" si="4"/>
        <v>9</v>
      </c>
      <c r="E32" s="113">
        <f t="shared" si="5"/>
        <v>0</v>
      </c>
      <c r="F32" s="114">
        <f>IFERROR(AVERAGEIF(TPersonnel[Fonction],A32,TPersonnel[Salaire Brut Mensuel (Base brut CP)]),0)</f>
        <v>2689.5466666666671</v>
      </c>
    </row>
    <row r="33" spans="1:6" x14ac:dyDescent="0.45">
      <c r="A33" s="166" t="str">
        <f>IFERROR(INDEX(_xlfn.ANCHORARRAY('⚙️ Parametres'!$L$3),10),"")</f>
        <v>Exploitant affréteur</v>
      </c>
      <c r="B33" s="139">
        <f>COUNTIF(TPersonnel[Fonction],A33)</f>
        <v>1</v>
      </c>
      <c r="C33" s="141" cm="1">
        <f t="array" ref="C33">SUMPRODUCT((UPPER(TPersonnel[Fonction à supprimer])="OUI")*(TPersonnel[Fonction]=A33))</f>
        <v>0</v>
      </c>
      <c r="D33" s="139">
        <f t="shared" si="4"/>
        <v>1</v>
      </c>
      <c r="E33" s="143">
        <f t="shared" si="5"/>
        <v>0</v>
      </c>
      <c r="F33" s="144">
        <f>IFERROR(AVERAGEIF(TPersonnel[Fonction],A33,TPersonnel[Salaire Brut Mensuel (Base brut CP)]),0)</f>
        <v>3527</v>
      </c>
    </row>
    <row r="34" spans="1:6" ht="14.65" thickBot="1" x14ac:dyDescent="0.5">
      <c r="A34" s="167" t="s">
        <v>222</v>
      </c>
      <c r="B34" s="127">
        <f>SUM(B24:B33)</f>
        <v>30</v>
      </c>
      <c r="C34" s="127">
        <f>SUM(C24:C33)</f>
        <v>0</v>
      </c>
      <c r="D34" s="127">
        <f>SUM(D24:D33)</f>
        <v>30</v>
      </c>
      <c r="E34" s="128">
        <f>IF(B34=0,"-",C34/B34)</f>
        <v>0</v>
      </c>
      <c r="F34" s="130">
        <f>IFERROR(AVERAGE(F24:F33),0)</f>
        <v>2537.7161249999999</v>
      </c>
    </row>
  </sheetData>
  <mergeCells count="1">
    <mergeCell ref="A1:K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0909-5689-4EA1-83F8-24E7B2D202E2}">
  <sheetPr>
    <pageSetUpPr fitToPage="1"/>
  </sheetPr>
  <dimension ref="A1:H33"/>
  <sheetViews>
    <sheetView showGridLines="0" zoomScaleNormal="100" workbookViewId="0">
      <selection activeCell="E9" sqref="E9"/>
    </sheetView>
  </sheetViews>
  <sheetFormatPr baseColWidth="10" defaultColWidth="11.3984375" defaultRowHeight="14.25" x14ac:dyDescent="0.45"/>
  <cols>
    <col min="1" max="1" width="44.3984375" customWidth="1"/>
    <col min="2" max="2" width="19.59765625" customWidth="1"/>
    <col min="3" max="3" width="33.3984375" bestFit="1" customWidth="1"/>
    <col min="4" max="6" width="19.59765625" customWidth="1"/>
    <col min="7" max="8" width="14.1328125" customWidth="1"/>
    <col min="9" max="9" width="11" bestFit="1" customWidth="1"/>
    <col min="10" max="11" width="12" bestFit="1" customWidth="1"/>
  </cols>
  <sheetData>
    <row r="1" spans="1:8" ht="35.1" customHeight="1" x14ac:dyDescent="0.65">
      <c r="A1" s="365" t="s">
        <v>237</v>
      </c>
      <c r="B1" s="365"/>
      <c r="C1" s="365"/>
      <c r="D1" s="365"/>
      <c r="E1" s="365"/>
      <c r="F1" s="365"/>
      <c r="G1" s="365"/>
      <c r="H1" s="365"/>
    </row>
    <row r="2" spans="1:8" ht="5.0999999999999996" customHeight="1" x14ac:dyDescent="0.45"/>
    <row r="3" spans="1:8" ht="17.25" thickBot="1" x14ac:dyDescent="0.55000000000000004">
      <c r="A3" s="366" t="s">
        <v>238</v>
      </c>
      <c r="B3" s="366"/>
      <c r="C3" s="366"/>
      <c r="D3" s="366"/>
    </row>
    <row r="4" spans="1:8" x14ac:dyDescent="0.45">
      <c r="A4" s="233" t="s">
        <v>239</v>
      </c>
      <c r="B4" s="234" t="s">
        <v>240</v>
      </c>
      <c r="C4" s="234" t="s">
        <v>241</v>
      </c>
      <c r="D4" s="235" t="s">
        <v>242</v>
      </c>
    </row>
    <row r="5" spans="1:8" x14ac:dyDescent="0.45">
      <c r="A5" s="236" t="s">
        <v>243</v>
      </c>
      <c r="B5" s="237">
        <f>'📈 Dashboard'!D4</f>
        <v>0</v>
      </c>
      <c r="C5" s="238" t="s">
        <v>244</v>
      </c>
      <c r="D5" s="239" t="str">
        <f>IF(B5&gt;0.5,"⚠️ Très fort",IF(B5&gt;0.3,"⚠️ Fort","✅ Modéré"))</f>
        <v>✅ Modéré</v>
      </c>
    </row>
    <row r="6" spans="1:8" x14ac:dyDescent="0.45">
      <c r="A6" s="236" t="s">
        <v>245</v>
      </c>
      <c r="B6" s="240" cm="1">
        <f t="array" aca="1" ref="B6" ca="1">SUMPRODUCT((UPPER(TPersonnel[Fonction à supprimer])="OUI")*(TPersonnel[Age]&gt;=50))</f>
        <v>0</v>
      </c>
      <c r="C6" s="238" t="str">
        <f>'📈 Dashboard'!B4&amp;" supprimés au total"</f>
        <v>0 supprimés au total</v>
      </c>
      <c r="D6" s="239" t="str">
        <f>IF('📈 Dashboard'!B4=0,"✅ Proportionnel",IF(B6/'📈 Dashboard'!B4&gt;B5+0.1,"⚠️ Sur-représentés","✅ Proportionnel"))</f>
        <v>✅ Proportionnel</v>
      </c>
    </row>
    <row r="7" spans="1:8" x14ac:dyDescent="0.45">
      <c r="A7" s="236" t="s">
        <v>246</v>
      </c>
      <c r="B7" s="237">
        <f ca="1">IFERROR(B6/'📈 Dashboard'!B4,0)</f>
        <v>0</v>
      </c>
      <c r="C7" s="238" t="str">
        <f ca="1">"Part des ≥50 parmi supprimés : "&amp;TEXT(B7,"0%")</f>
        <v>Part des ≥50 parmi supprimés : 0%</v>
      </c>
      <c r="D7" s="239" t="str" cm="1">
        <f t="array" aca="1" ref="D7" ca="1">IF(B7&gt;SUMPRODUCT((TPersonnel[Age]&gt;=50)*1)/'📈 Dashboard'!A4+0.1,"⚠️ Attention","✅ OK")</f>
        <v>✅ OK</v>
      </c>
    </row>
    <row r="8" spans="1:8" x14ac:dyDescent="0.45">
      <c r="A8" s="236" t="s">
        <v>247</v>
      </c>
      <c r="B8" s="240" cm="1">
        <f t="array" aca="1" ref="B8" ca="1">SUMPRODUCT((UPPER(TPersonnel[Fonction à supprimer])="OUI")*(TPersonnel[Age]&gt;=55))</f>
        <v>0</v>
      </c>
      <c r="C8" s="238" t="str">
        <f ca="1">"Dont "&amp;B8&amp;" ont ≥55 ans (protégés)"</f>
        <v>Dont 0 ont ≥55 ans (protégés)</v>
      </c>
      <c r="D8" s="239" t="str">
        <f ca="1">IF(B8&gt;0,"⚠️ "&amp;B8&amp;" senior(s)","✅ Aucun")</f>
        <v>✅ Aucun</v>
      </c>
    </row>
    <row r="9" spans="1:8" x14ac:dyDescent="0.45">
      <c r="A9" s="236" t="s">
        <v>248</v>
      </c>
      <c r="B9" s="237">
        <f>IFERROR('📈 Dashboard'!S4/'📈 Dashboard'!B4,0)</f>
        <v>0</v>
      </c>
      <c r="C9" s="238" t="str">
        <f>IF('📈 Dashboard'!B4=0,"H supprimés : 0 / 0 (N/A)","H supprimés : "&amp;'📈 Dashboard'!S4&amp;" / "&amp;'📈 Dashboard'!B4&amp;" ("&amp;TEXT('📈 Dashboard'!S4/'📈 Dashboard'!B4,"0%")&amp;")")</f>
        <v>H supprimés : 0 / 0 (N/A)</v>
      </c>
      <c r="D9" s="239" t="str">
        <f>IF('📈 Dashboard'!B4=0,"✅ Équilibré",IF(ABS('📈 Dashboard'!S4/'📈 Dashboard'!B4-'📈 Dashboard'!J18/'📈 Dashboard'!A4)&gt;0.15,"⚠️ Déséquilibre","✅ Équilibré"))</f>
        <v>✅ Équilibré</v>
      </c>
    </row>
    <row r="10" spans="1:8" x14ac:dyDescent="0.45">
      <c r="A10" s="236" t="s">
        <v>249</v>
      </c>
      <c r="B10" s="237">
        <f>IFERROR('📈 Dashboard'!T4/'📈 Dashboard'!B4,0)</f>
        <v>0</v>
      </c>
      <c r="C10" s="238" t="str">
        <f>IF('📈 Dashboard'!B4=0,"F supprimées : 0 / 0 (N/A)","F supprimées : "&amp;'📈 Dashboard'!T4&amp;" / "&amp;'📈 Dashboard'!B4&amp;" ("&amp;TEXT('📈 Dashboard'!T4/'📈 Dashboard'!B4,"0%")&amp;")")</f>
        <v>F supprimées : 0 / 0 (N/A)</v>
      </c>
      <c r="D10" s="239" t="str">
        <f>IF('📈 Dashboard'!B4=0,"✅ Équilibré",IF(ABS('📈 Dashboard'!T4/'📈 Dashboard'!B4-'📈 Dashboard'!J19/'📈 Dashboard'!A4)&gt;0.15,"⚠️ Déséquilibre","✅ Équilibré"))</f>
        <v>✅ Équilibré</v>
      </c>
    </row>
    <row r="11" spans="1:8" x14ac:dyDescent="0.45">
      <c r="A11" s="236" t="s">
        <v>250</v>
      </c>
      <c r="B11" s="241" cm="1">
        <f t="array" aca="1" ref="B11" ca="1">IFERROR(SUMPRODUCT((UPPER(TPersonnel[Fonction à supprimer])="OUI")*TPersonnel[Ancienneté (ans) réelle])/'📈 Dashboard'!B4,0)</f>
        <v>0</v>
      </c>
      <c r="C11" s="238" t="str" cm="1">
        <f t="array" aca="1" ref="C11" ca="1">"Moy. supprimés : "&amp;TEXT(IFERROR(SUMPRODUCT((UPPER(TPersonnel[Fonction à supprimer])="OUI")*(TPersonnel[Ancienneté (ans) réelle]&lt;50)*TPersonnel[Ancienneté (ans) réelle])/SUMPRODUCT((UPPER(TPersonnel[Fonction à supprimer])="OUI")*(TPersonnel[Ancienneté (ans) réelle]&lt;50)),0),"0,0")&amp;" ans (générale : "&amp;TEXT(IFERROR(AVERAGEIF(TPersonnel[Ancienneté (ans) réelle],"&lt;50"),0),"0,0")&amp;" ans)"</f>
        <v>Moy. supprimés : 0,0 ans (générale : 9,4 ans)</v>
      </c>
      <c r="D11" s="239" t="str">
        <f ca="1">IF(B11&gt;AVERAGE(TPersonnel[Ancienneté (ans) réelle])*1.3,"⚠️ Anciens visés","✅ Proportionnel")</f>
        <v>✅ Proportionnel</v>
      </c>
    </row>
    <row r="12" spans="1:8" x14ac:dyDescent="0.45">
      <c r="A12" s="236" t="s">
        <v>251</v>
      </c>
      <c r="B12" s="241" cm="1">
        <f t="array" aca="1" ref="B12" ca="1">IFERROR(SUMPRODUCT((UPPER(TPersonnel[Fonction à supprimer])="OUI")*(TPersonnel[Date de naissance]&lt;&gt;"")*((TODAY()-TPersonnel[Date de naissance])/365.25))/SUMPRODUCT((UPPER(TPersonnel[Fonction à supprimer])="OUI")*(TPersonnel[Date de naissance]&lt;&gt;"")),0)</f>
        <v>0</v>
      </c>
      <c r="C12" s="238" t="str" cm="1">
        <f t="array" aca="1" ref="C12" ca="1">"Moy. supprimés : "&amp;TEXT(IFERROR(SUMPRODUCT((UPPER(TPersonnel[Fonction à supprimer])="OUI")*(TPersonnel[Date de naissance]&lt;&gt;"")*((TODAY()-TPersonnel[Date de naissance])/365.25))/SUMPRODUCT((UPPER(TPersonnel[Fonction à supprimer])="OUI")*(TPersonnel[Date de naissance]&lt;&gt;"")),0),"0,0")&amp;" ans (générale : "&amp;TEXT(AVERAGE(TPersonnel[Age]),"0,0")&amp;" ans)"</f>
        <v>Moy. supprimés : 0,0 ans (générale : 45,9 ans)</v>
      </c>
      <c r="D12" s="239" t="str">
        <f ca="1">IF(B12&gt;AVERAGE(TPersonnel[Age])+5,"⚠️ Plus âgés","✅ Comparable")</f>
        <v>✅ Comparable</v>
      </c>
    </row>
    <row r="13" spans="1:8" x14ac:dyDescent="0.45">
      <c r="A13" s="236" t="s">
        <v>252</v>
      </c>
      <c r="B13" s="240" cm="1">
        <f t="array" ref="B13">SUMPRODUCT(('📈 Dashboard'!C9:C11&gt;0)*1)</f>
        <v>0</v>
      </c>
      <c r="C13" s="238" t="str">
        <f>"sur "&amp;COUNTA('📈 Dashboard'!A9:A11)&amp;" sites"</f>
        <v>sur 3 sites</v>
      </c>
      <c r="D13" s="239" t="str">
        <f>IF(B13=COUNTA('📈 Dashboard'!A9:A11),"⚠️ Tous impactés",B13&amp;" / "&amp;COUNTA('📈 Dashboard'!A9:A11))</f>
        <v>0 / 3</v>
      </c>
    </row>
    <row r="14" spans="1:8" x14ac:dyDescent="0.45">
      <c r="A14" s="236" t="s">
        <v>253</v>
      </c>
      <c r="B14" s="242" t="str">
        <f>INDEX('📈 Dashboard'!I9:I14,MATCH(MAX('📈 Dashboard'!K9:K14),'📈 Dashboard'!K9:K14,0))</f>
        <v>Agent de maîtrise</v>
      </c>
      <c r="C14" s="238" t="str">
        <f>MAX('📈 Dashboard'!K9:K14)&amp;" postes supprimés"</f>
        <v>0 postes supprimés</v>
      </c>
      <c r="D14" s="239" t="str">
        <f>TEXT(MAX('📈 Dashboard'!M9:M14),"0%")&amp;" de la catégorie"</f>
        <v>0% de la catégorie</v>
      </c>
    </row>
    <row r="15" spans="1:8" x14ac:dyDescent="0.45">
      <c r="A15" s="236" t="s">
        <v>254</v>
      </c>
      <c r="B15" s="222">
        <f>IFERROR('📈 Dashboard'!M4/'📈 Dashboard'!B4,0)</f>
        <v>0</v>
      </c>
      <c r="C15" s="238" t="s">
        <v>255</v>
      </c>
      <c r="D15" s="243"/>
    </row>
    <row r="16" spans="1:8" ht="14.65" thickBot="1" x14ac:dyDescent="0.5">
      <c r="A16" s="244" t="s">
        <v>256</v>
      </c>
      <c r="B16" s="245" cm="1">
        <f t="array" ref="B16">IFERROR(SUMPRODUCT((UPPER(TPersonnel[Fonction à supprimer])="OUI")*TPersonnel[Salaire Brut Mensuel (Base brut CP)])/'📈 Dashboard'!B4,0)</f>
        <v>0</v>
      </c>
      <c r="C16" s="246" t="str">
        <f>"Moy. supprimés : "&amp;TEXT(B16,"# ##0")&amp;" € (générale : "&amp;TEXT(AVERAGE(TPersonnel[Salaire Brut Mensuel (Base brut CP)]),"# ##0")&amp;" €)"</f>
        <v>Moy. supprimés : 0 € (générale : 2 663 €)</v>
      </c>
      <c r="D16" s="247"/>
    </row>
    <row r="17" spans="1:8" ht="8.1" customHeight="1" x14ac:dyDescent="0.45"/>
    <row r="18" spans="1:8" ht="17.25" thickBot="1" x14ac:dyDescent="0.55000000000000004">
      <c r="A18" s="367" t="s">
        <v>257</v>
      </c>
      <c r="B18" s="367"/>
      <c r="C18" s="367"/>
      <c r="D18" s="367"/>
      <c r="E18" s="367"/>
      <c r="F18" s="367"/>
      <c r="G18" s="367"/>
      <c r="H18" s="367"/>
    </row>
    <row r="19" spans="1:8" ht="24" x14ac:dyDescent="0.45">
      <c r="A19" s="248" t="s">
        <v>258</v>
      </c>
      <c r="B19" s="249" t="s">
        <v>259</v>
      </c>
      <c r="C19" s="250" t="s">
        <v>260</v>
      </c>
      <c r="D19" s="250" t="s">
        <v>261</v>
      </c>
      <c r="E19" s="250" t="s">
        <v>262</v>
      </c>
      <c r="F19" s="251" t="s">
        <v>263</v>
      </c>
      <c r="G19" s="279" t="s">
        <v>258</v>
      </c>
      <c r="H19" s="280" t="s">
        <v>264</v>
      </c>
    </row>
    <row r="20" spans="1:8" x14ac:dyDescent="0.45">
      <c r="A20" s="252" t="s">
        <v>265</v>
      </c>
      <c r="B20" s="253">
        <f>-'📈 Dashboard'!M4</f>
        <v>0</v>
      </c>
      <c r="C20" s="254">
        <v>0</v>
      </c>
      <c r="D20" s="254">
        <v>0</v>
      </c>
      <c r="E20" s="254">
        <v>0</v>
      </c>
      <c r="F20" s="255">
        <f>SUM(B20:E20)</f>
        <v>0</v>
      </c>
      <c r="G20" t="s">
        <v>266</v>
      </c>
      <c r="H20" s="281">
        <f>B23</f>
        <v>0</v>
      </c>
    </row>
    <row r="21" spans="1:8" x14ac:dyDescent="0.45">
      <c r="A21" s="252" t="s">
        <v>267</v>
      </c>
      <c r="B21" s="254">
        <v>0</v>
      </c>
      <c r="C21" s="256">
        <f>'📈 Dashboard'!H4</f>
        <v>0</v>
      </c>
      <c r="D21" s="256">
        <f>C21</f>
        <v>0</v>
      </c>
      <c r="E21" s="256">
        <f>D21</f>
        <v>0</v>
      </c>
      <c r="F21" s="257">
        <f>SUM(B21:E21)</f>
        <v>0</v>
      </c>
      <c r="G21" t="s">
        <v>260</v>
      </c>
      <c r="H21" s="281">
        <f>C23</f>
        <v>0</v>
      </c>
    </row>
    <row r="22" spans="1:8" x14ac:dyDescent="0.45">
      <c r="A22" s="252" t="s">
        <v>268</v>
      </c>
      <c r="B22" s="258">
        <f>B20+B21</f>
        <v>0</v>
      </c>
      <c r="C22" s="258">
        <f>C20+C21</f>
        <v>0</v>
      </c>
      <c r="D22" s="258">
        <f>D20+D21</f>
        <v>0</v>
      </c>
      <c r="E22" s="258">
        <f>E20+E21</f>
        <v>0</v>
      </c>
      <c r="F22" s="255">
        <f>SUM(B22:E22)</f>
        <v>0</v>
      </c>
      <c r="G22" t="s">
        <v>261</v>
      </c>
      <c r="H22" s="281">
        <f>D23</f>
        <v>0</v>
      </c>
    </row>
    <row r="23" spans="1:8" x14ac:dyDescent="0.45">
      <c r="A23" s="259" t="s">
        <v>269</v>
      </c>
      <c r="B23" s="260">
        <f>B22</f>
        <v>0</v>
      </c>
      <c r="C23" s="260">
        <f>B23+C22</f>
        <v>0</v>
      </c>
      <c r="D23" s="260">
        <f>C23+D22</f>
        <v>0</v>
      </c>
      <c r="E23" s="260">
        <f>D23+E22</f>
        <v>0</v>
      </c>
      <c r="F23" s="261"/>
      <c r="G23" t="s">
        <v>262</v>
      </c>
      <c r="H23" s="281">
        <f>E23</f>
        <v>0</v>
      </c>
    </row>
    <row r="24" spans="1:8" x14ac:dyDescent="0.45">
      <c r="A24" s="262" t="s">
        <v>270</v>
      </c>
      <c r="B24" s="263"/>
      <c r="C24" s="264" t="str">
        <f>IF(C23&gt;=0,"✅ Amorti","")</f>
        <v>✅ Amorti</v>
      </c>
      <c r="D24" s="264" t="str">
        <f>IF(AND(D23&gt;=0,C23&lt;0),"✅ Amorti","")</f>
        <v/>
      </c>
      <c r="E24" s="264" t="str">
        <f>IF(AND(E23&gt;=0,D23&lt;0),"✅ Amorti","")</f>
        <v/>
      </c>
      <c r="F24" s="261"/>
    </row>
    <row r="25" spans="1:8" ht="16.149999999999999" thickBot="1" x14ac:dyDescent="0.55000000000000004">
      <c r="A25" s="265" t="s">
        <v>271</v>
      </c>
      <c r="B25" s="266">
        <f>'📈 Dashboard'!N4</f>
        <v>0</v>
      </c>
      <c r="C25" s="267" t="str">
        <f>"Coût PSE / Économie annuelle = "&amp;TEXT(B25,"0,00")&amp;" ans"</f>
        <v>Coût PSE / Économie annuelle = 0,00 ans</v>
      </c>
      <c r="D25" s="268"/>
      <c r="E25" s="268"/>
      <c r="F25" s="269"/>
    </row>
    <row r="26" spans="1:8" ht="8.1" customHeight="1" x14ac:dyDescent="0.45"/>
    <row r="27" spans="1:8" ht="17.25" thickBot="1" x14ac:dyDescent="0.55000000000000004">
      <c r="A27" s="368" t="s">
        <v>272</v>
      </c>
      <c r="B27" s="368"/>
      <c r="C27" s="368"/>
      <c r="D27" s="368"/>
      <c r="E27" s="368"/>
      <c r="F27" s="368"/>
      <c r="G27" s="368"/>
      <c r="H27" s="368"/>
    </row>
    <row r="28" spans="1:8" x14ac:dyDescent="0.45">
      <c r="A28" s="270" t="s">
        <v>273</v>
      </c>
      <c r="B28" s="271" t="s">
        <v>274</v>
      </c>
      <c r="C28" s="271" t="s">
        <v>275</v>
      </c>
      <c r="D28" s="271" t="s">
        <v>276</v>
      </c>
      <c r="E28" s="271" t="s">
        <v>277</v>
      </c>
      <c r="F28" s="272" t="s">
        <v>222</v>
      </c>
    </row>
    <row r="29" spans="1:8" x14ac:dyDescent="0.45">
      <c r="A29" s="273" t="s">
        <v>51</v>
      </c>
      <c r="B29" s="274" cm="1">
        <f t="array" aca="1" ref="B29" ca="1">SUMPRODUCT((UPPER(TPersonnel[Fonction à supprimer])="OUI")*(TPersonnel[Catégorie]="Ouvrier")*(TPersonnel[Ancienneté (ans) réelle]&lt;5)*TPersonnel[COÛT TOTAL])</f>
        <v>0</v>
      </c>
      <c r="C29" s="274" cm="1">
        <f t="array" aca="1" ref="C29" ca="1">SUMPRODUCT((UPPER(TPersonnel[Fonction à supprimer])="OUI")*(TPersonnel[Catégorie]="Ouvrier")*(TPersonnel[Ancienneté (ans) réelle]&gt;=5)*(TPersonnel[Ancienneté (ans) réelle]&lt;10)*TPersonnel[COÛT TOTAL])</f>
        <v>0</v>
      </c>
      <c r="D29" s="274" cm="1">
        <f t="array" aca="1" ref="D29" ca="1">SUMPRODUCT((UPPER(TPersonnel[Fonction à supprimer])="OUI")*(TPersonnel[Catégorie]="Ouvrier")*(TPersonnel[Ancienneté (ans) réelle]&gt;=10)*(TPersonnel[Ancienneté (ans) réelle]&lt;20)*TPersonnel[COÛT TOTAL])</f>
        <v>0</v>
      </c>
      <c r="E29" s="274" cm="1">
        <f t="array" aca="1" ref="E29" ca="1">SUMPRODUCT((UPPER(TPersonnel[Fonction à supprimer])="OUI")*(TPersonnel[Catégorie]="Ouvrier")*(TPersonnel[Ancienneté (ans) réelle]&gt;=20)*TPersonnel[COÛT TOTAL])</f>
        <v>0</v>
      </c>
      <c r="F29" s="275">
        <f ca="1">SUM(B29:E29)</f>
        <v>0</v>
      </c>
    </row>
    <row r="30" spans="1:8" x14ac:dyDescent="0.45">
      <c r="A30" s="273" t="s">
        <v>99</v>
      </c>
      <c r="B30" s="274" cm="1">
        <f t="array" aca="1" ref="B30" ca="1">SUMPRODUCT((UPPER(TPersonnel[Fonction à supprimer])="OUI")*(LEFT(TPersonnel[Catégorie],6)="Employ")*(TPersonnel[Ancienneté (ans) réelle]&lt;5)*TPersonnel[COÛT TOTAL])</f>
        <v>0</v>
      </c>
      <c r="C30" s="274" cm="1">
        <f t="array" aca="1" ref="C30" ca="1">SUMPRODUCT((UPPER(TPersonnel[Fonction à supprimer])="OUI")*(LEFT(TPersonnel[Catégorie],6)="Employ")*(TPersonnel[Ancienneté (ans) réelle]&gt;=5)*(TPersonnel[Ancienneté (ans) réelle]&lt;10)*TPersonnel[COÛT TOTAL])</f>
        <v>0</v>
      </c>
      <c r="D30" s="274" cm="1">
        <f t="array" aca="1" ref="D30" ca="1">SUMPRODUCT((UPPER(TPersonnel[Fonction à supprimer])="OUI")*(LEFT(TPersonnel[Catégorie],6)="Employ")*(TPersonnel[Ancienneté (ans) réelle]&gt;=10)*(TPersonnel[Ancienneté (ans) réelle]&lt;20)*TPersonnel[COÛT TOTAL])</f>
        <v>0</v>
      </c>
      <c r="E30" s="274" cm="1">
        <f t="array" aca="1" ref="E30" ca="1">SUMPRODUCT((UPPER(TPersonnel[Fonction à supprimer])="OUI")*(LEFT(TPersonnel[Catégorie],6)="Employ")*(TPersonnel[Ancienneté (ans) réelle]&gt;=20)*TPersonnel[COÛT TOTAL])</f>
        <v>0</v>
      </c>
      <c r="F30" s="275">
        <f ca="1">SUM(B30:E30)</f>
        <v>0</v>
      </c>
    </row>
    <row r="31" spans="1:8" x14ac:dyDescent="0.45">
      <c r="A31" s="273" t="s">
        <v>71</v>
      </c>
      <c r="B31" s="274" cm="1">
        <f t="array" aca="1" ref="B31" ca="1">SUMPRODUCT((UPPER(TPersonnel[Fonction à supprimer])="OUI")*(LEFT(TPersonnel[Catégorie],5)="Agent")*(TPersonnel[Ancienneté (ans) réelle]&lt;5)*TPersonnel[COÛT TOTAL])</f>
        <v>0</v>
      </c>
      <c r="C31" s="274" cm="1">
        <f t="array" aca="1" ref="C31" ca="1">SUMPRODUCT((UPPER(TPersonnel[Fonction à supprimer])="OUI")*(LEFT(TPersonnel[Catégorie],5)="Agent")*(TPersonnel[Ancienneté (ans) réelle]&gt;=5)*(TPersonnel[Ancienneté (ans) réelle]&lt;10)*TPersonnel[COÛT TOTAL])</f>
        <v>0</v>
      </c>
      <c r="D31" s="274" cm="1">
        <f t="array" aca="1" ref="D31" ca="1">SUMPRODUCT((UPPER(TPersonnel[Fonction à supprimer])="OUI")*(LEFT(TPersonnel[Catégorie],5)="Agent")*(TPersonnel[Ancienneté (ans) réelle]&gt;=10)*(TPersonnel[Ancienneté (ans) réelle]&lt;20)*TPersonnel[COÛT TOTAL])</f>
        <v>0</v>
      </c>
      <c r="E31" s="274" cm="1">
        <f t="array" aca="1" ref="E31" ca="1">SUMPRODUCT((UPPER(TPersonnel[Fonction à supprimer])="OUI")*(LEFT(TPersonnel[Catégorie],5)="Agent")*(TPersonnel[Ancienneté (ans) réelle]&gt;=20)*TPersonnel[COÛT TOTAL])</f>
        <v>0</v>
      </c>
      <c r="F31" s="275">
        <f ca="1">SUM(B31:E31)</f>
        <v>0</v>
      </c>
    </row>
    <row r="32" spans="1:8" x14ac:dyDescent="0.45">
      <c r="A32" s="273" t="s">
        <v>278</v>
      </c>
      <c r="B32" s="274" cm="1">
        <f t="array" aca="1" ref="B32" ca="1">SUMPRODUCT((UPPER(TPersonnel[Fonction à supprimer])="OUI")*(TPersonnel[Catégorie]="Cadre")*(TPersonnel[Ancienneté (ans) réelle]&lt;5)*TPersonnel[COÛT TOTAL])</f>
        <v>0</v>
      </c>
      <c r="C32" s="274" cm="1">
        <f t="array" aca="1" ref="C32" ca="1">SUMPRODUCT((UPPER(TPersonnel[Fonction à supprimer])="OUI")*(TPersonnel[Catégorie]="Cadre")*(TPersonnel[Ancienneté (ans) réelle]&gt;=5)*(TPersonnel[Ancienneté (ans) réelle]&lt;10)*TPersonnel[COÛT TOTAL])</f>
        <v>0</v>
      </c>
      <c r="D32" s="274" cm="1">
        <f t="array" aca="1" ref="D32" ca="1">SUMPRODUCT((UPPER(TPersonnel[Fonction à supprimer])="OUI")*(TPersonnel[Catégorie]="Cadre")*(TPersonnel[Ancienneté (ans) réelle]&gt;=10)*(TPersonnel[Ancienneté (ans) réelle]&lt;20)*TPersonnel[COÛT TOTAL])</f>
        <v>0</v>
      </c>
      <c r="E32" s="274" cm="1">
        <f t="array" aca="1" ref="E32" ca="1">SUMPRODUCT((UPPER(TPersonnel[Fonction à supprimer])="OUI")*(TPersonnel[Catégorie]="Cadre")*(TPersonnel[Ancienneté (ans) réelle]&gt;=20)*TPersonnel[COÛT TOTAL])</f>
        <v>0</v>
      </c>
      <c r="F32" s="275">
        <f ca="1">SUM(B32:E32)</f>
        <v>0</v>
      </c>
    </row>
    <row r="33" spans="1:6" ht="14.65" thickBot="1" x14ac:dyDescent="0.5">
      <c r="A33" s="276" t="s">
        <v>222</v>
      </c>
      <c r="B33" s="277">
        <f ca="1">SUM(B29:B32)</f>
        <v>0</v>
      </c>
      <c r="C33" s="277">
        <f ca="1">SUM(C29:C32)</f>
        <v>0</v>
      </c>
      <c r="D33" s="277">
        <f ca="1">SUM(D29:D32)</f>
        <v>0</v>
      </c>
      <c r="E33" s="277">
        <f ca="1">SUM(E29:E32)</f>
        <v>0</v>
      </c>
      <c r="F33" s="278">
        <f ca="1">SUM(F29:F32)</f>
        <v>0</v>
      </c>
    </row>
  </sheetData>
  <mergeCells count="4">
    <mergeCell ref="A1:H1"/>
    <mergeCell ref="A3:D3"/>
    <mergeCell ref="A18:H18"/>
    <mergeCell ref="A27:H2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3" sqref="A3"/>
    </sheetView>
  </sheetViews>
  <sheetFormatPr baseColWidth="10" defaultColWidth="9" defaultRowHeight="14.25" x14ac:dyDescent="0.45"/>
  <cols>
    <col min="1" max="1" width="6" style="185" customWidth="1"/>
    <col min="2" max="3" width="12" customWidth="1"/>
    <col min="4" max="4" width="11" customWidth="1"/>
    <col min="5" max="5" width="16" customWidth="1"/>
    <col min="6" max="6" width="11" customWidth="1"/>
    <col min="7" max="7" width="8" customWidth="1"/>
    <col min="8" max="8" width="13" customWidth="1"/>
    <col min="9" max="10" width="14" customWidth="1"/>
    <col min="11" max="11" width="14.1328125" customWidth="1"/>
    <col min="12" max="12" width="14" customWidth="1"/>
    <col min="13" max="13" width="12" customWidth="1"/>
    <col min="14" max="14" width="13" customWidth="1"/>
    <col min="15" max="15" width="8" customWidth="1"/>
    <col min="16" max="16" width="13" customWidth="1"/>
    <col min="17" max="17" width="8" customWidth="1"/>
    <col min="18" max="19" width="12" customWidth="1"/>
    <col min="20" max="20" width="15" customWidth="1"/>
  </cols>
  <sheetData>
    <row r="1" spans="1:20" ht="18" x14ac:dyDescent="0.55000000000000004">
      <c r="A1" s="370" t="s">
        <v>279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</row>
    <row r="3" spans="1:20" ht="42.75" x14ac:dyDescent="0.45">
      <c r="A3" s="322" t="s">
        <v>1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280</v>
      </c>
      <c r="G3" s="5" t="s">
        <v>281</v>
      </c>
      <c r="H3" s="5" t="s">
        <v>282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283</v>
      </c>
      <c r="P3" s="5" t="s">
        <v>40</v>
      </c>
      <c r="Q3" s="5" t="s">
        <v>284</v>
      </c>
      <c r="R3" s="5" t="s">
        <v>42</v>
      </c>
      <c r="S3" s="63" t="s">
        <v>43</v>
      </c>
      <c r="T3" s="5" t="s">
        <v>44</v>
      </c>
    </row>
    <row r="4" spans="1:20" x14ac:dyDescent="0.45">
      <c r="A4" s="323">
        <f>INDEX(TPersonnel[ID],1)</f>
        <v>3</v>
      </c>
      <c r="B4" s="11" t="str">
        <f>INDEX(TPersonnel[Nom],1)</f>
        <v>BASTARD</v>
      </c>
      <c r="C4" s="11" t="str">
        <f>INDEX(TPersonnel[Prénom],1)</f>
        <v>Gilles</v>
      </c>
      <c r="D4" s="11" t="str">
        <f>INDEX(TPersonnel[Site],1)</f>
        <v>PUSIGNAN</v>
      </c>
      <c r="E4" s="11" t="str">
        <f>INDEX(TPersonnel[Fonction],1)</f>
        <v>Manutentionnaire</v>
      </c>
      <c r="F4" s="11" t="str">
        <f>INDEX(TPersonnel[Catégorie],1)</f>
        <v>Ouvrier</v>
      </c>
      <c r="G4" s="12">
        <f ca="1">INDEX(TPersonnel[Ancienneté (ans) à la date théorique de sortie],1)</f>
        <v>19.01163586584531</v>
      </c>
      <c r="H4" s="13">
        <f>INDEX(TPersonnel[Salaire Brut de référence],1)</f>
        <v>2320.54</v>
      </c>
      <c r="I4" s="10">
        <f>INDEX(TPersonnel[INDEM LÉGALE],1)</f>
        <v>0</v>
      </c>
      <c r="J4" s="10">
        <f>INDEX(TPersonnel[INDEM CONV.],1)</f>
        <v>0</v>
      </c>
      <c r="K4" s="14" t="str">
        <f>INDEX(TPersonnel[COMPARAISON],1)</f>
        <v/>
      </c>
      <c r="L4" s="15">
        <f>INDEX(TPersonnel[INDEM RETENUE],1)</f>
        <v>0</v>
      </c>
      <c r="M4" s="10">
        <f>INDEX(TPersonnel[Majoration PSE],1)</f>
        <v>0</v>
      </c>
      <c r="N4" s="16">
        <f>INDEX(TPersonnel[TOTAL INDEM],1)</f>
        <v>0</v>
      </c>
      <c r="O4" s="14">
        <f>INDEX(TPersonnel[Préavis Calc (mois)],1)</f>
        <v>0</v>
      </c>
      <c r="P4" s="10">
        <f>INDEX(TPersonnel[Indem Préavis Brut],1)</f>
        <v>0</v>
      </c>
      <c r="Q4" s="14">
        <f>INDEX(TPersonnel[CP Calc (jrs)],1)</f>
        <v>0</v>
      </c>
      <c r="R4" s="10">
        <f>INDEX(TPersonnel[Indem CP],1)</f>
        <v>0</v>
      </c>
      <c r="S4" s="10">
        <f>INDEX(TPersonnel[COÛT Charges Patronales],1)</f>
        <v>0</v>
      </c>
      <c r="T4" s="17">
        <f>INDEX(TPersonnel[COÛT TOTAL],1)</f>
        <v>0</v>
      </c>
    </row>
    <row r="5" spans="1:20" x14ac:dyDescent="0.45">
      <c r="A5" s="323">
        <f>INDEX(TPersonnel[ID],2)</f>
        <v>8</v>
      </c>
      <c r="B5" s="11" t="str">
        <f>INDEX(TPersonnel[Nom],2)</f>
        <v>GERARD</v>
      </c>
      <c r="C5" s="11" t="str">
        <f>INDEX(TPersonnel[Prénom],2)</f>
        <v>Bruno</v>
      </c>
      <c r="D5" s="11" t="str">
        <f>INDEX(TPersonnel[Site],2)</f>
        <v>VALENCE</v>
      </c>
      <c r="E5" s="11" t="str">
        <f>INDEX(TPersonnel[Fonction],2)</f>
        <v>Chauffeur PL</v>
      </c>
      <c r="F5" s="11" t="str">
        <f>INDEX(TPersonnel[Catégorie],2)</f>
        <v>Ouvrier</v>
      </c>
      <c r="G5" s="12">
        <f ca="1">INDEX(TPersonnel[Ancienneté (ans) à la date théorique de sortie],2)</f>
        <v>30.031485284052017</v>
      </c>
      <c r="H5" s="13">
        <f>INDEX(TPersonnel[Salaire Brut de référence],2)</f>
        <v>2635.89</v>
      </c>
      <c r="I5" s="10">
        <f>INDEX(TPersonnel[INDEM LÉGALE],2)</f>
        <v>0</v>
      </c>
      <c r="J5" s="10">
        <f>INDEX(TPersonnel[INDEM CONV.],2)</f>
        <v>0</v>
      </c>
      <c r="K5" s="14" t="str">
        <f>INDEX(TPersonnel[COMPARAISON],2)</f>
        <v/>
      </c>
      <c r="L5" s="15">
        <f>INDEX(TPersonnel[INDEM RETENUE],2)</f>
        <v>0</v>
      </c>
      <c r="M5" s="10">
        <f>INDEX(TPersonnel[Majoration PSE],2)</f>
        <v>0</v>
      </c>
      <c r="N5" s="16">
        <f>INDEX(TPersonnel[TOTAL INDEM],2)</f>
        <v>0</v>
      </c>
      <c r="O5" s="14">
        <f>INDEX(TPersonnel[Préavis Calc (mois)],2)</f>
        <v>0</v>
      </c>
      <c r="P5" s="10">
        <f>INDEX(TPersonnel[Indem Préavis Brut],2)</f>
        <v>0</v>
      </c>
      <c r="Q5" s="14">
        <f>INDEX(TPersonnel[CP Calc (jrs)],2)</f>
        <v>0</v>
      </c>
      <c r="R5" s="10">
        <f>INDEX(TPersonnel[Indem CP],2)</f>
        <v>0</v>
      </c>
      <c r="S5" s="10">
        <f>INDEX(TPersonnel[COÛT Charges Patronales],2)</f>
        <v>0</v>
      </c>
      <c r="T5" s="17">
        <f>INDEX(TPersonnel[COÛT TOTAL],2)</f>
        <v>0</v>
      </c>
    </row>
    <row r="6" spans="1:20" x14ac:dyDescent="0.45">
      <c r="A6" s="323">
        <f>INDEX(TPersonnel[ID],3)</f>
        <v>9</v>
      </c>
      <c r="B6" s="11" t="str">
        <f>INDEX(TPersonnel[Nom],3)</f>
        <v>GERARD</v>
      </c>
      <c r="C6" s="11" t="str">
        <f>INDEX(TPersonnel[Prénom],3)</f>
        <v>Pascal</v>
      </c>
      <c r="D6" s="11" t="str">
        <f>INDEX(TPersonnel[Site],3)</f>
        <v>PUSIGNAN</v>
      </c>
      <c r="E6" s="11" t="str">
        <f>INDEX(TPersonnel[Fonction],3)</f>
        <v>Chef de Quai Temp</v>
      </c>
      <c r="F6" s="11" t="str">
        <f>INDEX(TPersonnel[Catégorie],3)</f>
        <v>Ouvrier</v>
      </c>
      <c r="G6" s="12">
        <f ca="1">INDEX(TPersonnel[Ancienneté (ans) à la date théorique de sortie],3)</f>
        <v>28.90075290896646</v>
      </c>
      <c r="H6" s="13">
        <f>INDEX(TPersonnel[Salaire Brut de référence],3)</f>
        <v>2687.99</v>
      </c>
      <c r="I6" s="10">
        <f>INDEX(TPersonnel[INDEM LÉGALE],3)</f>
        <v>0</v>
      </c>
      <c r="J6" s="10">
        <f>INDEX(TPersonnel[INDEM CONV.],3)</f>
        <v>0</v>
      </c>
      <c r="K6" s="14" t="str">
        <f>INDEX(TPersonnel[COMPARAISON],3)</f>
        <v/>
      </c>
      <c r="L6" s="15">
        <f>INDEX(TPersonnel[INDEM RETENUE],3)</f>
        <v>0</v>
      </c>
      <c r="M6" s="10">
        <f>INDEX(TPersonnel[Majoration PSE],3)</f>
        <v>0</v>
      </c>
      <c r="N6" s="16">
        <f>INDEX(TPersonnel[TOTAL INDEM],3)</f>
        <v>0</v>
      </c>
      <c r="O6" s="14">
        <f>INDEX(TPersonnel[Préavis Calc (mois)],3)</f>
        <v>0</v>
      </c>
      <c r="P6" s="10">
        <f>INDEX(TPersonnel[Indem Préavis Brut],3)</f>
        <v>0</v>
      </c>
      <c r="Q6" s="14">
        <f>INDEX(TPersonnel[CP Calc (jrs)],3)</f>
        <v>0</v>
      </c>
      <c r="R6" s="10">
        <f>INDEX(TPersonnel[Indem CP],3)</f>
        <v>0</v>
      </c>
      <c r="S6" s="10">
        <f>INDEX(TPersonnel[COÛT Charges Patronales],3)</f>
        <v>0</v>
      </c>
      <c r="T6" s="17">
        <f>INDEX(TPersonnel[COÛT TOTAL],3)</f>
        <v>0</v>
      </c>
    </row>
    <row r="7" spans="1:20" x14ac:dyDescent="0.45">
      <c r="A7" s="323">
        <f>INDEX(TPersonnel[ID],4)</f>
        <v>18</v>
      </c>
      <c r="B7" s="11" t="str">
        <f>INDEX(TPersonnel[Nom],4)</f>
        <v>PAVARD</v>
      </c>
      <c r="C7" s="11" t="str">
        <f>INDEX(TPersonnel[Prénom],4)</f>
        <v>Joel</v>
      </c>
      <c r="D7" s="11" t="str">
        <f>INDEX(TPersonnel[Site],4)</f>
        <v>ROGNAC</v>
      </c>
      <c r="E7" s="11" t="str">
        <f>INDEX(TPersonnel[Fonction],4)</f>
        <v>Chauffeur PL</v>
      </c>
      <c r="F7" s="11" t="str">
        <f>INDEX(TPersonnel[Catégorie],4)</f>
        <v>Ouvrier</v>
      </c>
      <c r="G7" s="12">
        <f ca="1">INDEX(TPersonnel[Ancienneté (ans) à la date théorique de sortie],4)</f>
        <v>22.896646132785762</v>
      </c>
      <c r="H7" s="13">
        <f>INDEX(TPersonnel[Salaire Brut de référence],4)</f>
        <v>3098.37</v>
      </c>
      <c r="I7" s="10">
        <f>INDEX(TPersonnel[INDEM LÉGALE],4)</f>
        <v>0</v>
      </c>
      <c r="J7" s="10">
        <f>INDEX(TPersonnel[INDEM CONV.],4)</f>
        <v>0</v>
      </c>
      <c r="K7" s="14" t="str">
        <f>INDEX(TPersonnel[COMPARAISON],4)</f>
        <v/>
      </c>
      <c r="L7" s="15">
        <f>INDEX(TPersonnel[INDEM RETENUE],4)</f>
        <v>0</v>
      </c>
      <c r="M7" s="10">
        <f>INDEX(TPersonnel[Majoration PSE],4)</f>
        <v>0</v>
      </c>
      <c r="N7" s="16">
        <f>INDEX(TPersonnel[TOTAL INDEM],4)</f>
        <v>0</v>
      </c>
      <c r="O7" s="14">
        <f>INDEX(TPersonnel[Préavis Calc (mois)],4)</f>
        <v>0</v>
      </c>
      <c r="P7" s="10">
        <f>INDEX(TPersonnel[Indem Préavis Brut],4)</f>
        <v>0</v>
      </c>
      <c r="Q7" s="14">
        <f>INDEX(TPersonnel[CP Calc (jrs)],4)</f>
        <v>0</v>
      </c>
      <c r="R7" s="10">
        <f>INDEX(TPersonnel[Indem CP],4)</f>
        <v>0</v>
      </c>
      <c r="S7" s="10">
        <f>INDEX(TPersonnel[COÛT Charges Patronales],4)</f>
        <v>0</v>
      </c>
      <c r="T7" s="17">
        <f>INDEX(TPersonnel[COÛT TOTAL],4)</f>
        <v>0</v>
      </c>
    </row>
    <row r="8" spans="1:20" x14ac:dyDescent="0.45">
      <c r="A8" s="323">
        <f>INDEX(TPersonnel[ID],5)</f>
        <v>19</v>
      </c>
      <c r="B8" s="11" t="str">
        <f>INDEX(TPersonnel[Nom],5)</f>
        <v>MOKRANI</v>
      </c>
      <c r="C8" s="11" t="str">
        <f>INDEX(TPersonnel[Prénom],5)</f>
        <v>Eric</v>
      </c>
      <c r="D8" s="11" t="str">
        <f>INDEX(TPersonnel[Site],5)</f>
        <v>ROGNAC</v>
      </c>
      <c r="E8" s="11" t="str">
        <f>INDEX(TPersonnel[Fonction],5)</f>
        <v>Chauffeur PL</v>
      </c>
      <c r="F8" s="11" t="str">
        <f>INDEX(TPersonnel[Catégorie],5)</f>
        <v>Ouvrier</v>
      </c>
      <c r="G8" s="12">
        <f ca="1">INDEX(TPersonnel[Ancienneté (ans) à la date théorique de sortie],5)</f>
        <v>27.572895277207394</v>
      </c>
      <c r="H8" s="13">
        <f>INDEX(TPersonnel[Salaire Brut de référence],5)</f>
        <v>3238.84</v>
      </c>
      <c r="I8" s="10">
        <f>INDEX(TPersonnel[INDEM LÉGALE],5)</f>
        <v>0</v>
      </c>
      <c r="J8" s="10">
        <f>INDEX(TPersonnel[INDEM CONV.],5)</f>
        <v>0</v>
      </c>
      <c r="K8" s="14" t="str">
        <f>INDEX(TPersonnel[COMPARAISON],5)</f>
        <v/>
      </c>
      <c r="L8" s="15">
        <f>INDEX(TPersonnel[INDEM RETENUE],5)</f>
        <v>0</v>
      </c>
      <c r="M8" s="10">
        <f>INDEX(TPersonnel[Majoration PSE],5)</f>
        <v>0</v>
      </c>
      <c r="N8" s="16">
        <f>INDEX(TPersonnel[TOTAL INDEM],5)</f>
        <v>0</v>
      </c>
      <c r="O8" s="14">
        <f>INDEX(TPersonnel[Préavis Calc (mois)],5)</f>
        <v>0</v>
      </c>
      <c r="P8" s="10">
        <f>INDEX(TPersonnel[Indem Préavis Brut],5)</f>
        <v>0</v>
      </c>
      <c r="Q8" s="14">
        <f>INDEX(TPersonnel[CP Calc (jrs)],5)</f>
        <v>0</v>
      </c>
      <c r="R8" s="10">
        <f>INDEX(TPersonnel[Indem CP],5)</f>
        <v>0</v>
      </c>
      <c r="S8" s="10">
        <f>INDEX(TPersonnel[COÛT Charges Patronales],5)</f>
        <v>0</v>
      </c>
      <c r="T8" s="17">
        <f>INDEX(TPersonnel[COÛT TOTAL],5)</f>
        <v>0</v>
      </c>
    </row>
    <row r="9" spans="1:20" x14ac:dyDescent="0.45">
      <c r="A9" s="323">
        <f>INDEX(TPersonnel[ID],6)</f>
        <v>28</v>
      </c>
      <c r="B9" s="11" t="str">
        <f>INDEX(TPersonnel[Nom],6)</f>
        <v>BENSID AHMED</v>
      </c>
      <c r="C9" s="11" t="str">
        <f>INDEX(TPersonnel[Prénom],6)</f>
        <v>Ali</v>
      </c>
      <c r="D9" s="11" t="str">
        <f>INDEX(TPersonnel[Site],6)</f>
        <v>VALENCE</v>
      </c>
      <c r="E9" s="11" t="str">
        <f>INDEX(TPersonnel[Fonction],6)</f>
        <v>Chauffeur PL</v>
      </c>
      <c r="F9" s="11" t="str">
        <f>INDEX(TPersonnel[Catégorie],6)</f>
        <v>Ouvrier</v>
      </c>
      <c r="G9" s="12">
        <f ca="1">INDEX(TPersonnel[Ancienneté (ans) à la date théorique de sortie],6)</f>
        <v>18.606433949349761</v>
      </c>
      <c r="H9" s="13">
        <f>INDEX(TPersonnel[Salaire Brut de référence],6)</f>
        <v>3110.06</v>
      </c>
      <c r="I9" s="10">
        <f>INDEX(TPersonnel[INDEM LÉGALE],6)</f>
        <v>0</v>
      </c>
      <c r="J9" s="10">
        <f>INDEX(TPersonnel[INDEM CONV.],6)</f>
        <v>0</v>
      </c>
      <c r="K9" s="14" t="str">
        <f>INDEX(TPersonnel[COMPARAISON],6)</f>
        <v/>
      </c>
      <c r="L9" s="15">
        <f>INDEX(TPersonnel[INDEM RETENUE],6)</f>
        <v>0</v>
      </c>
      <c r="M9" s="10">
        <f>INDEX(TPersonnel[Majoration PSE],6)</f>
        <v>0</v>
      </c>
      <c r="N9" s="16">
        <f>INDEX(TPersonnel[TOTAL INDEM],6)</f>
        <v>0</v>
      </c>
      <c r="O9" s="14">
        <f>INDEX(TPersonnel[Préavis Calc (mois)],6)</f>
        <v>0</v>
      </c>
      <c r="P9" s="10">
        <f>INDEX(TPersonnel[Indem Préavis Brut],6)</f>
        <v>0</v>
      </c>
      <c r="Q9" s="14">
        <f>INDEX(TPersonnel[CP Calc (jrs)],6)</f>
        <v>0</v>
      </c>
      <c r="R9" s="10">
        <f>INDEX(TPersonnel[Indem CP],6)</f>
        <v>0</v>
      </c>
      <c r="S9" s="10">
        <f>INDEX(TPersonnel[COÛT Charges Patronales],6)</f>
        <v>0</v>
      </c>
      <c r="T9" s="17">
        <f>INDEX(TPersonnel[COÛT TOTAL],6)</f>
        <v>0</v>
      </c>
    </row>
    <row r="10" spans="1:20" x14ac:dyDescent="0.45">
      <c r="A10" s="323">
        <f>INDEX(TPersonnel[ID],7)</f>
        <v>31</v>
      </c>
      <c r="B10" s="11" t="str">
        <f>INDEX(TPersonnel[Nom],7)</f>
        <v>BOULAKHSOUMI</v>
      </c>
      <c r="C10" s="11" t="str">
        <f>INDEX(TPersonnel[Prénom],7)</f>
        <v>Mostafa</v>
      </c>
      <c r="D10" s="11" t="str">
        <f>INDEX(TPersonnel[Site],7)</f>
        <v>VALENCE</v>
      </c>
      <c r="E10" s="11" t="str">
        <f>INDEX(TPersonnel[Fonction],7)</f>
        <v>Resp Exploitation</v>
      </c>
      <c r="F10" s="11" t="str">
        <f>INDEX(TPersonnel[Catégorie],7)</f>
        <v>Agent de maîtrise</v>
      </c>
      <c r="G10" s="12">
        <f ca="1">INDEX(TPersonnel[Ancienneté (ans) à la date théorique de sortie],7)</f>
        <v>10.924024640657084</v>
      </c>
      <c r="H10" s="13">
        <f>INDEX(TPersonnel[Salaire Brut de référence],7)</f>
        <v>3250</v>
      </c>
      <c r="I10" s="10">
        <f>INDEX(TPersonnel[INDEM LÉGALE],7)</f>
        <v>0</v>
      </c>
      <c r="J10" s="10">
        <f>INDEX(TPersonnel[INDEM CONV.],7)</f>
        <v>0</v>
      </c>
      <c r="K10" s="14" t="str">
        <f>INDEX(TPersonnel[COMPARAISON],7)</f>
        <v/>
      </c>
      <c r="L10" s="15">
        <f>INDEX(TPersonnel[INDEM RETENUE],7)</f>
        <v>0</v>
      </c>
      <c r="M10" s="10">
        <f>INDEX(TPersonnel[Majoration PSE],7)</f>
        <v>0</v>
      </c>
      <c r="N10" s="16">
        <f>INDEX(TPersonnel[TOTAL INDEM],7)</f>
        <v>0</v>
      </c>
      <c r="O10" s="14">
        <f>INDEX(TPersonnel[Préavis Calc (mois)],7)</f>
        <v>0</v>
      </c>
      <c r="P10" s="10">
        <f>INDEX(TPersonnel[Indem Préavis Brut],7)</f>
        <v>0</v>
      </c>
      <c r="Q10" s="14">
        <f>INDEX(TPersonnel[CP Calc (jrs)],7)</f>
        <v>0</v>
      </c>
      <c r="R10" s="10">
        <f>INDEX(TPersonnel[Indem CP],7)</f>
        <v>0</v>
      </c>
      <c r="S10" s="10">
        <f>INDEX(TPersonnel[COÛT Charges Patronales],7)</f>
        <v>0</v>
      </c>
      <c r="T10" s="17">
        <f>INDEX(TPersonnel[COÛT TOTAL],7)</f>
        <v>0</v>
      </c>
    </row>
    <row r="11" spans="1:20" x14ac:dyDescent="0.45">
      <c r="A11" s="323">
        <f>INDEX(TPersonnel[ID],8)</f>
        <v>33</v>
      </c>
      <c r="B11" s="11" t="str">
        <f>INDEX(TPersonnel[Nom],8)</f>
        <v>HAOUARI</v>
      </c>
      <c r="C11" s="11" t="str">
        <f>INDEX(TPersonnel[Prénom],8)</f>
        <v>Khaled</v>
      </c>
      <c r="D11" s="11" t="str">
        <f>INDEX(TPersonnel[Site],8)</f>
        <v>VALENCE</v>
      </c>
      <c r="E11" s="11" t="str">
        <f>INDEX(TPersonnel[Fonction],8)</f>
        <v>Chauffeur PL</v>
      </c>
      <c r="F11" s="11" t="str">
        <f>INDEX(TPersonnel[Catégorie],8)</f>
        <v>Ouvrier</v>
      </c>
      <c r="G11" s="12">
        <f ca="1">INDEX(TPersonnel[Ancienneté (ans) à la date théorique de sortie],8)</f>
        <v>18.932238193018481</v>
      </c>
      <c r="H11" s="13">
        <f>INDEX(TPersonnel[Salaire Brut de référence],8)</f>
        <v>2827.92</v>
      </c>
      <c r="I11" s="10">
        <f>INDEX(TPersonnel[INDEM LÉGALE],8)</f>
        <v>0</v>
      </c>
      <c r="J11" s="10">
        <f>INDEX(TPersonnel[INDEM CONV.],8)</f>
        <v>0</v>
      </c>
      <c r="K11" s="14" t="str">
        <f>INDEX(TPersonnel[COMPARAISON],8)</f>
        <v/>
      </c>
      <c r="L11" s="15">
        <f>INDEX(TPersonnel[INDEM RETENUE],8)</f>
        <v>0</v>
      </c>
      <c r="M11" s="10">
        <f>INDEX(TPersonnel[Majoration PSE],8)</f>
        <v>0</v>
      </c>
      <c r="N11" s="16">
        <f>INDEX(TPersonnel[TOTAL INDEM],8)</f>
        <v>0</v>
      </c>
      <c r="O11" s="14">
        <f>INDEX(TPersonnel[Préavis Calc (mois)],8)</f>
        <v>0</v>
      </c>
      <c r="P11" s="10">
        <f>INDEX(TPersonnel[Indem Préavis Brut],8)</f>
        <v>0</v>
      </c>
      <c r="Q11" s="14">
        <f>INDEX(TPersonnel[CP Calc (jrs)],8)</f>
        <v>0</v>
      </c>
      <c r="R11" s="10">
        <f>INDEX(TPersonnel[Indem CP],8)</f>
        <v>0</v>
      </c>
      <c r="S11" s="10">
        <f>INDEX(TPersonnel[COÛT Charges Patronales],8)</f>
        <v>0</v>
      </c>
      <c r="T11" s="17">
        <f>INDEX(TPersonnel[COÛT TOTAL],8)</f>
        <v>0</v>
      </c>
    </row>
    <row r="12" spans="1:20" x14ac:dyDescent="0.45">
      <c r="A12" s="323">
        <f>INDEX(TPersonnel[ID],9)</f>
        <v>35</v>
      </c>
      <c r="B12" s="11" t="str">
        <f>INDEX(TPersonnel[Nom],9)</f>
        <v>GUENIFI</v>
      </c>
      <c r="C12" s="11" t="str">
        <f>INDEX(TPersonnel[Prénom],9)</f>
        <v>Abdelkader</v>
      </c>
      <c r="D12" s="11" t="str">
        <f>INDEX(TPersonnel[Site],9)</f>
        <v>VALENCE</v>
      </c>
      <c r="E12" s="11" t="str">
        <f>INDEX(TPersonnel[Fonction],9)</f>
        <v>Chauffeur SPL</v>
      </c>
      <c r="F12" s="11" t="str">
        <f>INDEX(TPersonnel[Catégorie],9)</f>
        <v>Ouvrier</v>
      </c>
      <c r="G12" s="12">
        <f ca="1">INDEX(TPersonnel[Ancienneté (ans) à la date théorique de sortie],9)</f>
        <v>12.112251882272416</v>
      </c>
      <c r="H12" s="13">
        <f>INDEX(TPersonnel[Salaire Brut de référence],9)</f>
        <v>2842.93</v>
      </c>
      <c r="I12" s="10">
        <f>INDEX(TPersonnel[INDEM LÉGALE],9)</f>
        <v>0</v>
      </c>
      <c r="J12" s="10">
        <f>INDEX(TPersonnel[INDEM CONV.],9)</f>
        <v>0</v>
      </c>
      <c r="K12" s="14" t="str">
        <f>INDEX(TPersonnel[COMPARAISON],9)</f>
        <v/>
      </c>
      <c r="L12" s="15">
        <f>INDEX(TPersonnel[INDEM RETENUE],9)</f>
        <v>0</v>
      </c>
      <c r="M12" s="10">
        <f>INDEX(TPersonnel[Majoration PSE],9)</f>
        <v>0</v>
      </c>
      <c r="N12" s="16">
        <f>INDEX(TPersonnel[TOTAL INDEM],9)</f>
        <v>0</v>
      </c>
      <c r="O12" s="14">
        <f>INDEX(TPersonnel[Préavis Calc (mois)],9)</f>
        <v>0</v>
      </c>
      <c r="P12" s="10">
        <f>INDEX(TPersonnel[Indem Préavis Brut],9)</f>
        <v>0</v>
      </c>
      <c r="Q12" s="14">
        <f>INDEX(TPersonnel[CP Calc (jrs)],9)</f>
        <v>0</v>
      </c>
      <c r="R12" s="10">
        <f>INDEX(TPersonnel[Indem CP],9)</f>
        <v>0</v>
      </c>
      <c r="S12" s="10">
        <f>INDEX(TPersonnel[COÛT Charges Patronales],9)</f>
        <v>0</v>
      </c>
      <c r="T12" s="17">
        <f>INDEX(TPersonnel[COÛT TOTAL],9)</f>
        <v>0</v>
      </c>
    </row>
    <row r="13" spans="1:20" x14ac:dyDescent="0.45">
      <c r="A13" s="323">
        <f>INDEX(TPersonnel[ID],10)</f>
        <v>40</v>
      </c>
      <c r="B13" s="11" t="str">
        <f>INDEX(TPersonnel[Nom],10)</f>
        <v>TESTARD</v>
      </c>
      <c r="C13" s="11" t="str">
        <f>INDEX(TPersonnel[Prénom],10)</f>
        <v>Jean-Claude</v>
      </c>
      <c r="D13" s="11" t="str">
        <f>INDEX(TPersonnel[Site],10)</f>
        <v>VALENCE</v>
      </c>
      <c r="E13" s="11" t="str">
        <f>INDEX(TPersonnel[Fonction],10)</f>
        <v>Chauffeur PL</v>
      </c>
      <c r="F13" s="11" t="str">
        <f>INDEX(TPersonnel[Catégorie],10)</f>
        <v>Ouvrier</v>
      </c>
      <c r="G13" s="12">
        <f ca="1">INDEX(TPersonnel[Ancienneté (ans) à la date théorique de sortie],10)</f>
        <v>34.455852156057496</v>
      </c>
      <c r="H13" s="13">
        <f>INDEX(TPersonnel[Salaire Brut de référence],10)</f>
        <v>2974.39</v>
      </c>
      <c r="I13" s="10">
        <f>INDEX(TPersonnel[INDEM LÉGALE],10)</f>
        <v>0</v>
      </c>
      <c r="J13" s="10">
        <f>INDEX(TPersonnel[INDEM CONV.],10)</f>
        <v>0</v>
      </c>
      <c r="K13" s="14" t="str">
        <f>INDEX(TPersonnel[COMPARAISON],10)</f>
        <v/>
      </c>
      <c r="L13" s="15">
        <f>INDEX(TPersonnel[INDEM RETENUE],10)</f>
        <v>0</v>
      </c>
      <c r="M13" s="10">
        <f>INDEX(TPersonnel[Majoration PSE],10)</f>
        <v>0</v>
      </c>
      <c r="N13" s="16">
        <f>INDEX(TPersonnel[TOTAL INDEM],10)</f>
        <v>0</v>
      </c>
      <c r="O13" s="14">
        <f>INDEX(TPersonnel[Préavis Calc (mois)],10)</f>
        <v>0</v>
      </c>
      <c r="P13" s="10">
        <f>INDEX(TPersonnel[Indem Préavis Brut],10)</f>
        <v>0</v>
      </c>
      <c r="Q13" s="14">
        <f>INDEX(TPersonnel[CP Calc (jrs)],10)</f>
        <v>0</v>
      </c>
      <c r="R13" s="10">
        <f>INDEX(TPersonnel[Indem CP],10)</f>
        <v>0</v>
      </c>
      <c r="S13" s="10">
        <f>INDEX(TPersonnel[COÛT Charges Patronales],10)</f>
        <v>0</v>
      </c>
      <c r="T13" s="17">
        <f>INDEX(TPersonnel[COÛT TOTAL],10)</f>
        <v>0</v>
      </c>
    </row>
    <row r="14" spans="1:20" x14ac:dyDescent="0.45">
      <c r="A14" s="323">
        <f>INDEX(TPersonnel[ID],11)</f>
        <v>68</v>
      </c>
      <c r="B14" s="11" t="str">
        <f>INDEX(TPersonnel[Nom],11)</f>
        <v>MERLE</v>
      </c>
      <c r="C14" s="11" t="str">
        <f>INDEX(TPersonnel[Prénom],11)</f>
        <v>Xavier</v>
      </c>
      <c r="D14" s="11" t="str">
        <f>INDEX(TPersonnel[Site],11)</f>
        <v>PUSIGNAN</v>
      </c>
      <c r="E14" s="11" t="str">
        <f>INDEX(TPersonnel[Fonction],11)</f>
        <v>Chauffeur SPL</v>
      </c>
      <c r="F14" s="11" t="str">
        <f>INDEX(TPersonnel[Catégorie],11)</f>
        <v>Ouvrier</v>
      </c>
      <c r="G14" s="12">
        <f ca="1">INDEX(TPersonnel[Ancienneté (ans) à la date théorique de sortie],11)</f>
        <v>6.9568788501026697</v>
      </c>
      <c r="H14" s="13">
        <f>INDEX(TPersonnel[Salaire Brut de référence],11)</f>
        <v>2239.63</v>
      </c>
      <c r="I14" s="10">
        <f>INDEX(TPersonnel[INDEM LÉGALE],11)</f>
        <v>0</v>
      </c>
      <c r="J14" s="10">
        <f>INDEX(TPersonnel[INDEM CONV.],11)</f>
        <v>0</v>
      </c>
      <c r="K14" s="14" t="str">
        <f>INDEX(TPersonnel[COMPARAISON],11)</f>
        <v/>
      </c>
      <c r="L14" s="15">
        <f>INDEX(TPersonnel[INDEM RETENUE],11)</f>
        <v>0</v>
      </c>
      <c r="M14" s="10">
        <f>INDEX(TPersonnel[Majoration PSE],11)</f>
        <v>0</v>
      </c>
      <c r="N14" s="16">
        <f>INDEX(TPersonnel[TOTAL INDEM],11)</f>
        <v>0</v>
      </c>
      <c r="O14" s="14">
        <f>INDEX(TPersonnel[Préavis Calc (mois)],11)</f>
        <v>0</v>
      </c>
      <c r="P14" s="10">
        <f>INDEX(TPersonnel[Indem Préavis Brut],11)</f>
        <v>0</v>
      </c>
      <c r="Q14" s="14">
        <f>INDEX(TPersonnel[CP Calc (jrs)],11)</f>
        <v>0</v>
      </c>
      <c r="R14" s="10">
        <f>INDEX(TPersonnel[Indem CP],11)</f>
        <v>0</v>
      </c>
      <c r="S14" s="10">
        <f>INDEX(TPersonnel[COÛT Charges Patronales],11)</f>
        <v>0</v>
      </c>
      <c r="T14" s="17">
        <f>INDEX(TPersonnel[COÛT TOTAL],11)</f>
        <v>0</v>
      </c>
    </row>
    <row r="15" spans="1:20" x14ac:dyDescent="0.45">
      <c r="A15" s="323">
        <f>INDEX(TPersonnel[ID],12)</f>
        <v>69</v>
      </c>
      <c r="B15" s="11" t="str">
        <f>INDEX(TPersonnel[Nom],12)</f>
        <v>FERDJI</v>
      </c>
      <c r="C15" s="11" t="str">
        <f>INDEX(TPersonnel[Prénom],12)</f>
        <v>Abdenour</v>
      </c>
      <c r="D15" s="11" t="str">
        <f>INDEX(TPersonnel[Site],12)</f>
        <v>VALENCE</v>
      </c>
      <c r="E15" s="11" t="str">
        <f>INDEX(TPersonnel[Fonction],12)</f>
        <v>Chauffeur SPL</v>
      </c>
      <c r="F15" s="11" t="str">
        <f>INDEX(TPersonnel[Catégorie],12)</f>
        <v>Ouvrier</v>
      </c>
      <c r="G15" s="12">
        <f ca="1">INDEX(TPersonnel[Ancienneté (ans) à la date théorique de sortie],12)</f>
        <v>6.8610540725530456</v>
      </c>
      <c r="H15" s="13">
        <f>INDEX(TPersonnel[Salaire Brut de référence],12)</f>
        <v>2720.81</v>
      </c>
      <c r="I15" s="10">
        <f>INDEX(TPersonnel[INDEM LÉGALE],12)</f>
        <v>0</v>
      </c>
      <c r="J15" s="10">
        <f>INDEX(TPersonnel[INDEM CONV.],12)</f>
        <v>0</v>
      </c>
      <c r="K15" s="14" t="str">
        <f>INDEX(TPersonnel[COMPARAISON],12)</f>
        <v/>
      </c>
      <c r="L15" s="15">
        <f>INDEX(TPersonnel[INDEM RETENUE],12)</f>
        <v>0</v>
      </c>
      <c r="M15" s="10">
        <f>INDEX(TPersonnel[Majoration PSE],12)</f>
        <v>0</v>
      </c>
      <c r="N15" s="16">
        <f>INDEX(TPersonnel[TOTAL INDEM],12)</f>
        <v>0</v>
      </c>
      <c r="O15" s="14">
        <f>INDEX(TPersonnel[Préavis Calc (mois)],12)</f>
        <v>0</v>
      </c>
      <c r="P15" s="10">
        <f>INDEX(TPersonnel[Indem Préavis Brut],12)</f>
        <v>0</v>
      </c>
      <c r="Q15" s="14">
        <f>INDEX(TPersonnel[CP Calc (jrs)],12)</f>
        <v>0</v>
      </c>
      <c r="R15" s="10">
        <f>INDEX(TPersonnel[Indem CP],12)</f>
        <v>0</v>
      </c>
      <c r="S15" s="10">
        <f>INDEX(TPersonnel[COÛT Charges Patronales],12)</f>
        <v>0</v>
      </c>
      <c r="T15" s="17">
        <f>INDEX(TPersonnel[COÛT TOTAL],12)</f>
        <v>0</v>
      </c>
    </row>
    <row r="16" spans="1:20" x14ac:dyDescent="0.45">
      <c r="A16" s="323">
        <f>INDEX(TPersonnel[ID],13)</f>
        <v>70</v>
      </c>
      <c r="B16" s="11" t="str">
        <f>INDEX(TPersonnel[Nom],13)</f>
        <v>BEN HASSINE</v>
      </c>
      <c r="C16" s="11" t="str">
        <f>INDEX(TPersonnel[Prénom],13)</f>
        <v>Sami</v>
      </c>
      <c r="D16" s="11" t="str">
        <f>INDEX(TPersonnel[Site],13)</f>
        <v>VALENCE</v>
      </c>
      <c r="E16" s="11" t="str">
        <f>INDEX(TPersonnel[Fonction],13)</f>
        <v>Conducteur PL</v>
      </c>
      <c r="F16" s="11" t="str">
        <f>INDEX(TPersonnel[Catégorie],13)</f>
        <v>Ouvrier</v>
      </c>
      <c r="G16" s="12">
        <f ca="1">INDEX(TPersonnel[Ancienneté (ans) à la date théorique de sortie],13)</f>
        <v>6.5352498288843259</v>
      </c>
      <c r="H16" s="13">
        <f>INDEX(TPersonnel[Salaire Brut de référence],13)</f>
        <v>2668.64</v>
      </c>
      <c r="I16" s="10">
        <f>INDEX(TPersonnel[INDEM LÉGALE],13)</f>
        <v>0</v>
      </c>
      <c r="J16" s="10">
        <f>INDEX(TPersonnel[INDEM CONV.],13)</f>
        <v>0</v>
      </c>
      <c r="K16" s="14" t="str">
        <f>INDEX(TPersonnel[COMPARAISON],13)</f>
        <v/>
      </c>
      <c r="L16" s="15">
        <f>INDEX(TPersonnel[INDEM RETENUE],13)</f>
        <v>0</v>
      </c>
      <c r="M16" s="10">
        <f>INDEX(TPersonnel[Majoration PSE],13)</f>
        <v>0</v>
      </c>
      <c r="N16" s="16">
        <f>INDEX(TPersonnel[TOTAL INDEM],13)</f>
        <v>0</v>
      </c>
      <c r="O16" s="14">
        <f>INDEX(TPersonnel[Préavis Calc (mois)],13)</f>
        <v>0</v>
      </c>
      <c r="P16" s="10">
        <f>INDEX(TPersonnel[Indem Préavis Brut],13)</f>
        <v>0</v>
      </c>
      <c r="Q16" s="14">
        <f>INDEX(TPersonnel[CP Calc (jrs)],13)</f>
        <v>0</v>
      </c>
      <c r="R16" s="10">
        <f>INDEX(TPersonnel[Indem CP],13)</f>
        <v>0</v>
      </c>
      <c r="S16" s="10">
        <f>INDEX(TPersonnel[COÛT Charges Patronales],13)</f>
        <v>0</v>
      </c>
      <c r="T16" s="17">
        <f>INDEX(TPersonnel[COÛT TOTAL],13)</f>
        <v>0</v>
      </c>
    </row>
    <row r="17" spans="1:20" x14ac:dyDescent="0.45">
      <c r="A17" s="323">
        <f>INDEX(TPersonnel[ID],14)</f>
        <v>77</v>
      </c>
      <c r="B17" s="11" t="str">
        <f>INDEX(TPersonnel[Nom],14)</f>
        <v>RODRIGUES</v>
      </c>
      <c r="C17" s="11" t="str">
        <f>INDEX(TPersonnel[Prénom],14)</f>
        <v>Paula</v>
      </c>
      <c r="D17" s="11" t="str">
        <f>INDEX(TPersonnel[Site],14)</f>
        <v>VALENCE</v>
      </c>
      <c r="E17" s="11" t="str">
        <f>INDEX(TPersonnel[Fonction],14)</f>
        <v>Chauffeur PL</v>
      </c>
      <c r="F17" s="11" t="str">
        <f>INDEX(TPersonnel[Catégorie],14)</f>
        <v>Ouvrier</v>
      </c>
      <c r="G17" s="12">
        <f ca="1">INDEX(TPersonnel[Ancienneté (ans) à la date théorique de sortie],14)</f>
        <v>20.563997262149211</v>
      </c>
      <c r="H17" s="13">
        <f>INDEX(TPersonnel[Salaire Brut de référence],14)</f>
        <v>2325.7800000000002</v>
      </c>
      <c r="I17" s="10">
        <f>INDEX(TPersonnel[INDEM LÉGALE],14)</f>
        <v>0</v>
      </c>
      <c r="J17" s="10">
        <f>INDEX(TPersonnel[INDEM CONV.],14)</f>
        <v>0</v>
      </c>
      <c r="K17" s="14" t="str">
        <f>INDEX(TPersonnel[COMPARAISON],14)</f>
        <v/>
      </c>
      <c r="L17" s="15">
        <f>INDEX(TPersonnel[INDEM RETENUE],14)</f>
        <v>0</v>
      </c>
      <c r="M17" s="10">
        <f>INDEX(TPersonnel[Majoration PSE],14)</f>
        <v>0</v>
      </c>
      <c r="N17" s="16">
        <f>INDEX(TPersonnel[TOTAL INDEM],14)</f>
        <v>0</v>
      </c>
      <c r="O17" s="14">
        <f>INDEX(TPersonnel[Préavis Calc (mois)],14)</f>
        <v>0</v>
      </c>
      <c r="P17" s="10">
        <f>INDEX(TPersonnel[Indem Préavis Brut],14)</f>
        <v>0</v>
      </c>
      <c r="Q17" s="14">
        <f>INDEX(TPersonnel[CP Calc (jrs)],14)</f>
        <v>0</v>
      </c>
      <c r="R17" s="10">
        <f>INDEX(TPersonnel[Indem CP],14)</f>
        <v>0</v>
      </c>
      <c r="S17" s="10">
        <f>INDEX(TPersonnel[COÛT Charges Patronales],14)</f>
        <v>0</v>
      </c>
      <c r="T17" s="17">
        <f>INDEX(TPersonnel[COÛT TOTAL],14)</f>
        <v>0</v>
      </c>
    </row>
    <row r="18" spans="1:20" x14ac:dyDescent="0.45">
      <c r="A18" s="323">
        <f>INDEX(TPersonnel[ID],15)</f>
        <v>80</v>
      </c>
      <c r="B18" s="11" t="str">
        <f>INDEX(TPersonnel[Nom],15)</f>
        <v>MORIM</v>
      </c>
      <c r="C18" s="11" t="str">
        <f>INDEX(TPersonnel[Prénom],15)</f>
        <v>Enola</v>
      </c>
      <c r="D18" s="11" t="str">
        <f>INDEX(TPersonnel[Site],15)</f>
        <v>PUSIGNAN</v>
      </c>
      <c r="E18" s="11" t="str">
        <f>INDEX(TPersonnel[Fonction],15)</f>
        <v>Responsable Exploitation</v>
      </c>
      <c r="F18" s="11" t="str">
        <f>INDEX(TPersonnel[Catégorie],15)</f>
        <v>Agent de maîtrise</v>
      </c>
      <c r="G18" s="12">
        <f ca="1">INDEX(TPersonnel[Ancienneté (ans) à la date théorique de sortie],15)</f>
        <v>4.5503080082135527</v>
      </c>
      <c r="H18" s="13">
        <f>INDEX(TPersonnel[Salaire Brut de référence],15)</f>
        <v>3200</v>
      </c>
      <c r="I18" s="10">
        <f>INDEX(TPersonnel[INDEM LÉGALE],15)</f>
        <v>0</v>
      </c>
      <c r="J18" s="10">
        <f>INDEX(TPersonnel[INDEM CONV.],15)</f>
        <v>0</v>
      </c>
      <c r="K18" s="14" t="str">
        <f>INDEX(TPersonnel[COMPARAISON],15)</f>
        <v/>
      </c>
      <c r="L18" s="15">
        <f>INDEX(TPersonnel[INDEM RETENUE],15)</f>
        <v>0</v>
      </c>
      <c r="M18" s="10">
        <f>INDEX(TPersonnel[Majoration PSE],15)</f>
        <v>0</v>
      </c>
      <c r="N18" s="16">
        <f>INDEX(TPersonnel[TOTAL INDEM],15)</f>
        <v>0</v>
      </c>
      <c r="O18" s="14">
        <f>INDEX(TPersonnel[Préavis Calc (mois)],15)</f>
        <v>0</v>
      </c>
      <c r="P18" s="10">
        <f>INDEX(TPersonnel[Indem Préavis Brut],15)</f>
        <v>0</v>
      </c>
      <c r="Q18" s="14">
        <f>INDEX(TPersonnel[CP Calc (jrs)],15)</f>
        <v>0</v>
      </c>
      <c r="R18" s="10">
        <f>INDEX(TPersonnel[Indem CP],15)</f>
        <v>0</v>
      </c>
      <c r="S18" s="10">
        <f>INDEX(TPersonnel[COÛT Charges Patronales],15)</f>
        <v>0</v>
      </c>
      <c r="T18" s="17">
        <f>INDEX(TPersonnel[COÛT TOTAL],15)</f>
        <v>0</v>
      </c>
    </row>
    <row r="19" spans="1:20" x14ac:dyDescent="0.45">
      <c r="A19" s="323">
        <f>INDEX(TPersonnel[ID],16)</f>
        <v>81</v>
      </c>
      <c r="B19" s="11" t="str">
        <f>INDEX(TPersonnel[Nom],16)</f>
        <v>TALBI</v>
      </c>
      <c r="C19" s="11" t="str">
        <f>INDEX(TPersonnel[Prénom],16)</f>
        <v>Mehdi</v>
      </c>
      <c r="D19" s="11" t="str">
        <f>INDEX(TPersonnel[Site],16)</f>
        <v>VALENCE</v>
      </c>
      <c r="E19" s="11" t="str">
        <f>INDEX(TPersonnel[Fonction],16)</f>
        <v>Conducteur PL</v>
      </c>
      <c r="F19" s="11" t="str">
        <f>INDEX(TPersonnel[Catégorie],16)</f>
        <v>Ouvrier</v>
      </c>
      <c r="G19" s="12">
        <f ca="1">INDEX(TPersonnel[Ancienneté (ans) à la date théorique de sortie],16)</f>
        <v>4.5366187542778915</v>
      </c>
      <c r="H19" s="13">
        <f>INDEX(TPersonnel[Salaire Brut de référence],16)</f>
        <v>2439.79</v>
      </c>
      <c r="I19" s="10">
        <f>INDEX(TPersonnel[INDEM LÉGALE],16)</f>
        <v>0</v>
      </c>
      <c r="J19" s="10">
        <f>INDEX(TPersonnel[INDEM CONV.],16)</f>
        <v>0</v>
      </c>
      <c r="K19" s="14" t="str">
        <f>INDEX(TPersonnel[COMPARAISON],16)</f>
        <v/>
      </c>
      <c r="L19" s="15">
        <f>INDEX(TPersonnel[INDEM RETENUE],16)</f>
        <v>0</v>
      </c>
      <c r="M19" s="10">
        <f>INDEX(TPersonnel[Majoration PSE],16)</f>
        <v>0</v>
      </c>
      <c r="N19" s="16">
        <f>INDEX(TPersonnel[TOTAL INDEM],16)</f>
        <v>0</v>
      </c>
      <c r="O19" s="14">
        <f>INDEX(TPersonnel[Préavis Calc (mois)],16)</f>
        <v>0</v>
      </c>
      <c r="P19" s="10">
        <f>INDEX(TPersonnel[Indem Préavis Brut],16)</f>
        <v>0</v>
      </c>
      <c r="Q19" s="14">
        <f>INDEX(TPersonnel[CP Calc (jrs)],16)</f>
        <v>0</v>
      </c>
      <c r="R19" s="10">
        <f>INDEX(TPersonnel[Indem CP],16)</f>
        <v>0</v>
      </c>
      <c r="S19" s="10">
        <f>INDEX(TPersonnel[COÛT Charges Patronales],16)</f>
        <v>0</v>
      </c>
      <c r="T19" s="17">
        <f>INDEX(TPersonnel[COÛT TOTAL],16)</f>
        <v>0</v>
      </c>
    </row>
    <row r="20" spans="1:20" x14ac:dyDescent="0.45">
      <c r="A20" s="323">
        <f>INDEX(TPersonnel[ID],17)</f>
        <v>83</v>
      </c>
      <c r="B20" s="11" t="str">
        <f>INDEX(TPersonnel[Nom],17)</f>
        <v>ABDOULKARIM</v>
      </c>
      <c r="C20" s="11" t="str">
        <f>INDEX(TPersonnel[Prénom],17)</f>
        <v>Amir</v>
      </c>
      <c r="D20" s="11" t="str">
        <f>INDEX(TPersonnel[Site],17)</f>
        <v>ROGNAC</v>
      </c>
      <c r="E20" s="11" t="str">
        <f>INDEX(TPersonnel[Fonction],17)</f>
        <v>Conducteur PL</v>
      </c>
      <c r="F20" s="11" t="str">
        <f>INDEX(TPersonnel[Catégorie],17)</f>
        <v>Ouvrier</v>
      </c>
      <c r="G20" s="12">
        <f ca="1">INDEX(TPersonnel[Ancienneté (ans) à la date théorique de sortie],17)</f>
        <v>4.5201916495550991</v>
      </c>
      <c r="H20" s="13">
        <f>INDEX(TPersonnel[Salaire Brut de référence],17)</f>
        <v>3151.19</v>
      </c>
      <c r="I20" s="10">
        <f>INDEX(TPersonnel[INDEM LÉGALE],17)</f>
        <v>0</v>
      </c>
      <c r="J20" s="10">
        <f>INDEX(TPersonnel[INDEM CONV.],17)</f>
        <v>0</v>
      </c>
      <c r="K20" s="14" t="str">
        <f>INDEX(TPersonnel[COMPARAISON],17)</f>
        <v/>
      </c>
      <c r="L20" s="15">
        <f>INDEX(TPersonnel[INDEM RETENUE],17)</f>
        <v>0</v>
      </c>
      <c r="M20" s="10">
        <f>INDEX(TPersonnel[Majoration PSE],17)</f>
        <v>0</v>
      </c>
      <c r="N20" s="16">
        <f>INDEX(TPersonnel[TOTAL INDEM],17)</f>
        <v>0</v>
      </c>
      <c r="O20" s="14">
        <f>INDEX(TPersonnel[Préavis Calc (mois)],17)</f>
        <v>0</v>
      </c>
      <c r="P20" s="10">
        <f>INDEX(TPersonnel[Indem Préavis Brut],17)</f>
        <v>0</v>
      </c>
      <c r="Q20" s="14">
        <f>INDEX(TPersonnel[CP Calc (jrs)],17)</f>
        <v>0</v>
      </c>
      <c r="R20" s="10">
        <f>INDEX(TPersonnel[Indem CP],17)</f>
        <v>0</v>
      </c>
      <c r="S20" s="10">
        <f>INDEX(TPersonnel[COÛT Charges Patronales],17)</f>
        <v>0</v>
      </c>
      <c r="T20" s="17">
        <f>INDEX(TPersonnel[COÛT TOTAL],17)</f>
        <v>0</v>
      </c>
    </row>
    <row r="21" spans="1:20" x14ac:dyDescent="0.45">
      <c r="A21" s="323">
        <f>INDEX(TPersonnel[ID],18)</f>
        <v>2772</v>
      </c>
      <c r="B21" s="11" t="str">
        <f>INDEX(TPersonnel[Nom],18)</f>
        <v>LAGIER</v>
      </c>
      <c r="C21" s="11" t="str">
        <f>INDEX(TPersonnel[Prénom],18)</f>
        <v>Vivien</v>
      </c>
      <c r="D21" s="11" t="str">
        <f>INDEX(TPersonnel[Site],18)</f>
        <v>VALENCE</v>
      </c>
      <c r="E21" s="11" t="str">
        <f>INDEX(TPersonnel[Fonction],18)</f>
        <v>Affréteur</v>
      </c>
      <c r="F21" s="11" t="str">
        <f>INDEX(TPersonnel[Catégorie],18)</f>
        <v>Employé</v>
      </c>
      <c r="G21" s="12">
        <f ca="1">INDEX(TPersonnel[Ancienneté (ans) à la date théorique de sortie],18)</f>
        <v>4.5366187542778915</v>
      </c>
      <c r="H21" s="13">
        <f>INDEX(TPersonnel[Salaire Brut de référence],18)</f>
        <v>2550</v>
      </c>
      <c r="I21" s="10">
        <f>INDEX(TPersonnel[INDEM LÉGALE],18)</f>
        <v>0</v>
      </c>
      <c r="J21" s="10">
        <f>INDEX(TPersonnel[INDEM CONV.],18)</f>
        <v>0</v>
      </c>
      <c r="K21" s="14" t="str">
        <f>INDEX(TPersonnel[COMPARAISON],18)</f>
        <v/>
      </c>
      <c r="L21" s="15">
        <f>INDEX(TPersonnel[INDEM RETENUE],18)</f>
        <v>0</v>
      </c>
      <c r="M21" s="10">
        <f>INDEX(TPersonnel[Majoration PSE],18)</f>
        <v>0</v>
      </c>
      <c r="N21" s="16">
        <f>INDEX(TPersonnel[TOTAL INDEM],18)</f>
        <v>0</v>
      </c>
      <c r="O21" s="14">
        <f>INDEX(TPersonnel[Préavis Calc (mois)],18)</f>
        <v>0</v>
      </c>
      <c r="P21" s="10">
        <f>INDEX(TPersonnel[Indem Préavis Brut],18)</f>
        <v>0</v>
      </c>
      <c r="Q21" s="14">
        <f>INDEX(TPersonnel[CP Calc (jrs)],18)</f>
        <v>0</v>
      </c>
      <c r="R21" s="10">
        <f>INDEX(TPersonnel[Indem CP],18)</f>
        <v>0</v>
      </c>
      <c r="S21" s="10">
        <f>INDEX(TPersonnel[COÛT Charges Patronales],18)</f>
        <v>0</v>
      </c>
      <c r="T21" s="17">
        <f>INDEX(TPersonnel[COÛT TOTAL],18)</f>
        <v>0</v>
      </c>
    </row>
    <row r="22" spans="1:20" x14ac:dyDescent="0.45">
      <c r="A22" s="323">
        <f>INDEX(TPersonnel[ID],19)</f>
        <v>2773</v>
      </c>
      <c r="B22" s="11" t="str">
        <f>INDEX(TPersonnel[Nom],19)</f>
        <v>ALI</v>
      </c>
      <c r="C22" s="11" t="str">
        <f>INDEX(TPersonnel[Prénom],19)</f>
        <v>Nassuf</v>
      </c>
      <c r="D22" s="11" t="str">
        <f>INDEX(TPersonnel[Site],19)</f>
        <v>ROGNAC</v>
      </c>
      <c r="E22" s="11" t="str">
        <f>INDEX(TPersonnel[Fonction],19)</f>
        <v>Conducteur PL</v>
      </c>
      <c r="F22" s="11" t="str">
        <f>INDEX(TPersonnel[Catégorie],19)</f>
        <v>Ouvrier</v>
      </c>
      <c r="G22" s="12">
        <f ca="1">INDEX(TPersonnel[Ancienneté (ans) à la date théorique de sortie],19)</f>
        <v>4.4462696783025324</v>
      </c>
      <c r="H22" s="13">
        <f>INDEX(TPersonnel[Salaire Brut de référence],19)</f>
        <v>2751.22</v>
      </c>
      <c r="I22" s="10">
        <f>INDEX(TPersonnel[INDEM LÉGALE],19)</f>
        <v>0</v>
      </c>
      <c r="J22" s="10">
        <f>INDEX(TPersonnel[INDEM CONV.],19)</f>
        <v>0</v>
      </c>
      <c r="K22" s="14" t="str">
        <f>INDEX(TPersonnel[COMPARAISON],19)</f>
        <v/>
      </c>
      <c r="L22" s="15">
        <f>INDEX(TPersonnel[INDEM RETENUE],19)</f>
        <v>0</v>
      </c>
      <c r="M22" s="10">
        <f>INDEX(TPersonnel[Majoration PSE],19)</f>
        <v>0</v>
      </c>
      <c r="N22" s="16">
        <f>INDEX(TPersonnel[TOTAL INDEM],19)</f>
        <v>0</v>
      </c>
      <c r="O22" s="14">
        <f>INDEX(TPersonnel[Préavis Calc (mois)],19)</f>
        <v>0</v>
      </c>
      <c r="P22" s="10">
        <f>INDEX(TPersonnel[Indem Préavis Brut],19)</f>
        <v>0</v>
      </c>
      <c r="Q22" s="14">
        <f>INDEX(TPersonnel[CP Calc (jrs)],19)</f>
        <v>0</v>
      </c>
      <c r="R22" s="10">
        <f>INDEX(TPersonnel[Indem CP],19)</f>
        <v>0</v>
      </c>
      <c r="S22" s="10">
        <f>INDEX(TPersonnel[COÛT Charges Patronales],19)</f>
        <v>0</v>
      </c>
      <c r="T22" s="17">
        <f>INDEX(TPersonnel[COÛT TOTAL],19)</f>
        <v>0</v>
      </c>
    </row>
    <row r="23" spans="1:20" x14ac:dyDescent="0.45">
      <c r="A23" s="323">
        <f>INDEX(TPersonnel[ID],20)</f>
        <v>2774</v>
      </c>
      <c r="B23" s="11" t="str">
        <f>INDEX(TPersonnel[Nom],20)</f>
        <v>BOUDALI</v>
      </c>
      <c r="C23" s="11" t="str">
        <f>INDEX(TPersonnel[Prénom],20)</f>
        <v>Ouari</v>
      </c>
      <c r="D23" s="11" t="str">
        <f>INDEX(TPersonnel[Site],20)</f>
        <v>VALENCE</v>
      </c>
      <c r="E23" s="11" t="str">
        <f>INDEX(TPersonnel[Fonction],20)</f>
        <v>Conducteur PL</v>
      </c>
      <c r="F23" s="11" t="str">
        <f>INDEX(TPersonnel[Catégorie],20)</f>
        <v>Ouvrier</v>
      </c>
      <c r="G23" s="12">
        <f ca="1">INDEX(TPersonnel[Ancienneté (ans) à la date théorique de sortie],20)</f>
        <v>4.4271047227926079</v>
      </c>
      <c r="H23" s="13">
        <f>INDEX(TPersonnel[Salaire Brut de référence],20)</f>
        <v>2453.29</v>
      </c>
      <c r="I23" s="10">
        <f>INDEX(TPersonnel[INDEM LÉGALE],20)</f>
        <v>0</v>
      </c>
      <c r="J23" s="10">
        <f>INDEX(TPersonnel[INDEM CONV.],20)</f>
        <v>0</v>
      </c>
      <c r="K23" s="14" t="str">
        <f>INDEX(TPersonnel[COMPARAISON],20)</f>
        <v/>
      </c>
      <c r="L23" s="15">
        <f>INDEX(TPersonnel[INDEM RETENUE],20)</f>
        <v>0</v>
      </c>
      <c r="M23" s="10">
        <f>INDEX(TPersonnel[Majoration PSE],20)</f>
        <v>0</v>
      </c>
      <c r="N23" s="16">
        <f>INDEX(TPersonnel[TOTAL INDEM],20)</f>
        <v>0</v>
      </c>
      <c r="O23" s="14">
        <f>INDEX(TPersonnel[Préavis Calc (mois)],20)</f>
        <v>0</v>
      </c>
      <c r="P23" s="10">
        <f>INDEX(TPersonnel[Indem Préavis Brut],20)</f>
        <v>0</v>
      </c>
      <c r="Q23" s="14">
        <f>INDEX(TPersonnel[CP Calc (jrs)],20)</f>
        <v>0</v>
      </c>
      <c r="R23" s="10">
        <f>INDEX(TPersonnel[Indem CP],20)</f>
        <v>0</v>
      </c>
      <c r="S23" s="10">
        <f>INDEX(TPersonnel[COÛT Charges Patronales],20)</f>
        <v>0</v>
      </c>
      <c r="T23" s="17">
        <f>INDEX(TPersonnel[COÛT TOTAL],20)</f>
        <v>0</v>
      </c>
    </row>
    <row r="24" spans="1:20" x14ac:dyDescent="0.45">
      <c r="A24" s="323">
        <f>INDEX(TPersonnel[ID],21)</f>
        <v>2782</v>
      </c>
      <c r="B24" s="11" t="str">
        <f>INDEX(TPersonnel[Nom],21)</f>
        <v>DUMIOT</v>
      </c>
      <c r="C24" s="11" t="str">
        <f>INDEX(TPersonnel[Prénom],21)</f>
        <v>Julien</v>
      </c>
      <c r="D24" s="11" t="str">
        <f>INDEX(TPersonnel[Site],21)</f>
        <v>ROGNAC</v>
      </c>
      <c r="E24" s="11" t="str">
        <f>INDEX(TPersonnel[Fonction],21)</f>
        <v>Conducteur PL</v>
      </c>
      <c r="F24" s="11" t="str">
        <f>INDEX(TPersonnel[Catégorie],21)</f>
        <v>Ouvrier</v>
      </c>
      <c r="G24" s="12">
        <f ca="1">INDEX(TPersonnel[Ancienneté (ans) à la date théorique de sortie],21)</f>
        <v>3.3675564681724848</v>
      </c>
      <c r="H24" s="13">
        <f>INDEX(TPersonnel[Salaire Brut de référence],21)</f>
        <v>2303.2600000000002</v>
      </c>
      <c r="I24" s="10">
        <f>INDEX(TPersonnel[INDEM LÉGALE],21)</f>
        <v>0</v>
      </c>
      <c r="J24" s="10">
        <f>INDEX(TPersonnel[INDEM CONV.],21)</f>
        <v>0</v>
      </c>
      <c r="K24" s="14" t="str">
        <f>INDEX(TPersonnel[COMPARAISON],21)</f>
        <v/>
      </c>
      <c r="L24" s="15">
        <f>INDEX(TPersonnel[INDEM RETENUE],21)</f>
        <v>0</v>
      </c>
      <c r="M24" s="10">
        <f>INDEX(TPersonnel[Majoration PSE],21)</f>
        <v>0</v>
      </c>
      <c r="N24" s="16">
        <f>INDEX(TPersonnel[TOTAL INDEM],21)</f>
        <v>0</v>
      </c>
      <c r="O24" s="14">
        <f>INDEX(TPersonnel[Préavis Calc (mois)],21)</f>
        <v>0</v>
      </c>
      <c r="P24" s="10">
        <f>INDEX(TPersonnel[Indem Préavis Brut],21)</f>
        <v>0</v>
      </c>
      <c r="Q24" s="14">
        <f>INDEX(TPersonnel[CP Calc (jrs)],21)</f>
        <v>0</v>
      </c>
      <c r="R24" s="10">
        <f>INDEX(TPersonnel[Indem CP],21)</f>
        <v>0</v>
      </c>
      <c r="S24" s="10">
        <f>INDEX(TPersonnel[COÛT Charges Patronales],21)</f>
        <v>0</v>
      </c>
      <c r="T24" s="17">
        <f>INDEX(TPersonnel[COÛT TOTAL],21)</f>
        <v>0</v>
      </c>
    </row>
    <row r="25" spans="1:20" x14ac:dyDescent="0.45">
      <c r="A25" s="323">
        <f>INDEX(TPersonnel[ID],22)</f>
        <v>2784</v>
      </c>
      <c r="B25" s="11" t="str">
        <f>INDEX(TPersonnel[Nom],22)</f>
        <v>EGLAINE</v>
      </c>
      <c r="C25" s="11" t="str">
        <f>INDEX(TPersonnel[Prénom],22)</f>
        <v>Florent</v>
      </c>
      <c r="D25" s="11" t="str">
        <f>INDEX(TPersonnel[Site],22)</f>
        <v>VALENCE</v>
      </c>
      <c r="E25" s="11" t="str">
        <f>INDEX(TPersonnel[Fonction],22)</f>
        <v>Chauffeur PL</v>
      </c>
      <c r="F25" s="11" t="str">
        <f>INDEX(TPersonnel[Catégorie],22)</f>
        <v>Ouvrier</v>
      </c>
      <c r="G25" s="12">
        <f ca="1">INDEX(TPersonnel[Ancienneté (ans) à la date théorique de sortie],22)</f>
        <v>2.9295003422313486</v>
      </c>
      <c r="H25" s="13">
        <f>INDEX(TPersonnel[Salaire Brut de référence],22)</f>
        <v>2288.84</v>
      </c>
      <c r="I25" s="10">
        <f>INDEX(TPersonnel[INDEM LÉGALE],22)</f>
        <v>0</v>
      </c>
      <c r="J25" s="10">
        <f>INDEX(TPersonnel[INDEM CONV.],22)</f>
        <v>0</v>
      </c>
      <c r="K25" s="14" t="str">
        <f>INDEX(TPersonnel[COMPARAISON],22)</f>
        <v/>
      </c>
      <c r="L25" s="15">
        <f>INDEX(TPersonnel[INDEM RETENUE],22)</f>
        <v>0</v>
      </c>
      <c r="M25" s="10">
        <f>INDEX(TPersonnel[Majoration PSE],22)</f>
        <v>0</v>
      </c>
      <c r="N25" s="16">
        <f>INDEX(TPersonnel[TOTAL INDEM],22)</f>
        <v>0</v>
      </c>
      <c r="O25" s="14">
        <f>INDEX(TPersonnel[Préavis Calc (mois)],22)</f>
        <v>0</v>
      </c>
      <c r="P25" s="10">
        <f>INDEX(TPersonnel[Indem Préavis Brut],22)</f>
        <v>0</v>
      </c>
      <c r="Q25" s="14">
        <f>INDEX(TPersonnel[CP Calc (jrs)],22)</f>
        <v>0</v>
      </c>
      <c r="R25" s="10">
        <f>INDEX(TPersonnel[Indem CP],22)</f>
        <v>0</v>
      </c>
      <c r="S25" s="10">
        <f>INDEX(TPersonnel[COÛT Charges Patronales],22)</f>
        <v>0</v>
      </c>
      <c r="T25" s="17">
        <f>INDEX(TPersonnel[COÛT TOTAL],22)</f>
        <v>0</v>
      </c>
    </row>
    <row r="26" spans="1:20" x14ac:dyDescent="0.45">
      <c r="A26" s="323">
        <f>INDEX(TPersonnel[ID],23)</f>
        <v>2789</v>
      </c>
      <c r="B26" s="11" t="str">
        <f>INDEX(TPersonnel[Nom],23)</f>
        <v>DJEBBAR</v>
      </c>
      <c r="C26" s="11" t="str">
        <f>INDEX(TPersonnel[Prénom],23)</f>
        <v>Fettah</v>
      </c>
      <c r="D26" s="11" t="str">
        <f>INDEX(TPersonnel[Site],23)</f>
        <v>PUSIGNAN</v>
      </c>
      <c r="E26" s="11" t="str">
        <f>INDEX(TPersonnel[Fonction],23)</f>
        <v>Chef de quai</v>
      </c>
      <c r="F26" s="11" t="str">
        <f>INDEX(TPersonnel[Catégorie],23)</f>
        <v>Ouvrier</v>
      </c>
      <c r="G26" s="12">
        <f ca="1">INDEX(TPersonnel[Ancienneté (ans) à la date théorique de sortie],23)</f>
        <v>2.4531143052703626</v>
      </c>
      <c r="H26" s="13">
        <f>INDEX(TPersonnel[Salaire Brut de référence],23)</f>
        <v>2836.9</v>
      </c>
      <c r="I26" s="10">
        <f>INDEX(TPersonnel[INDEM LÉGALE],23)</f>
        <v>0</v>
      </c>
      <c r="J26" s="10">
        <f>INDEX(TPersonnel[INDEM CONV.],23)</f>
        <v>0</v>
      </c>
      <c r="K26" s="14" t="str">
        <f>INDEX(TPersonnel[COMPARAISON],23)</f>
        <v/>
      </c>
      <c r="L26" s="15">
        <f>INDEX(TPersonnel[INDEM RETENUE],23)</f>
        <v>0</v>
      </c>
      <c r="M26" s="10">
        <f>INDEX(TPersonnel[Majoration PSE],23)</f>
        <v>0</v>
      </c>
      <c r="N26" s="16">
        <f>INDEX(TPersonnel[TOTAL INDEM],23)</f>
        <v>0</v>
      </c>
      <c r="O26" s="14">
        <f>INDEX(TPersonnel[Préavis Calc (mois)],23)</f>
        <v>0</v>
      </c>
      <c r="P26" s="10">
        <f>INDEX(TPersonnel[Indem Préavis Brut],23)</f>
        <v>0</v>
      </c>
      <c r="Q26" s="14">
        <f>INDEX(TPersonnel[CP Calc (jrs)],23)</f>
        <v>0</v>
      </c>
      <c r="R26" s="10">
        <f>INDEX(TPersonnel[Indem CP],23)</f>
        <v>0</v>
      </c>
      <c r="S26" s="10">
        <f>INDEX(TPersonnel[COÛT Charges Patronales],23)</f>
        <v>0</v>
      </c>
      <c r="T26" s="17">
        <f>INDEX(TPersonnel[COÛT TOTAL],23)</f>
        <v>0</v>
      </c>
    </row>
    <row r="27" spans="1:20" x14ac:dyDescent="0.45">
      <c r="A27" s="323">
        <f>INDEX(TPersonnel[ID],24)</f>
        <v>2791</v>
      </c>
      <c r="B27" s="11" t="str">
        <f>INDEX(TPersonnel[Nom],24)</f>
        <v>AZCUE</v>
      </c>
      <c r="C27" s="11" t="str">
        <f>INDEX(TPersonnel[Prénom],24)</f>
        <v>Georges</v>
      </c>
      <c r="D27" s="11" t="str">
        <f>INDEX(TPersonnel[Site],24)</f>
        <v>VALENCE</v>
      </c>
      <c r="E27" s="11" t="str">
        <f>INDEX(TPersonnel[Fonction],24)</f>
        <v>Conducteur PL</v>
      </c>
      <c r="F27" s="11" t="str">
        <f>INDEX(TPersonnel[Catégorie],24)</f>
        <v>Ouvrier</v>
      </c>
      <c r="G27" s="12">
        <f ca="1">INDEX(TPersonnel[Ancienneté (ans) à la date théorique de sortie],24)</f>
        <v>2.4339493497604381</v>
      </c>
      <c r="H27" s="13">
        <f>INDEX(TPersonnel[Salaire Brut de référence],24)</f>
        <v>2295.41</v>
      </c>
      <c r="I27" s="10">
        <f>INDEX(TPersonnel[INDEM LÉGALE],24)</f>
        <v>0</v>
      </c>
      <c r="J27" s="10">
        <f>INDEX(TPersonnel[INDEM CONV.],24)</f>
        <v>0</v>
      </c>
      <c r="K27" s="14" t="str">
        <f>INDEX(TPersonnel[COMPARAISON],24)</f>
        <v/>
      </c>
      <c r="L27" s="15">
        <f>INDEX(TPersonnel[INDEM RETENUE],24)</f>
        <v>0</v>
      </c>
      <c r="M27" s="10">
        <f>INDEX(TPersonnel[Majoration PSE],24)</f>
        <v>0</v>
      </c>
      <c r="N27" s="16">
        <f>INDEX(TPersonnel[TOTAL INDEM],24)</f>
        <v>0</v>
      </c>
      <c r="O27" s="14">
        <f>INDEX(TPersonnel[Préavis Calc (mois)],24)</f>
        <v>0</v>
      </c>
      <c r="P27" s="10">
        <f>INDEX(TPersonnel[Indem Préavis Brut],24)</f>
        <v>0</v>
      </c>
      <c r="Q27" s="14">
        <f>INDEX(TPersonnel[CP Calc (jrs)],24)</f>
        <v>0</v>
      </c>
      <c r="R27" s="10">
        <f>INDEX(TPersonnel[Indem CP],24)</f>
        <v>0</v>
      </c>
      <c r="S27" s="10">
        <f>INDEX(TPersonnel[COÛT Charges Patronales],24)</f>
        <v>0</v>
      </c>
      <c r="T27" s="17">
        <f>INDEX(TPersonnel[COÛT TOTAL],24)</f>
        <v>0</v>
      </c>
    </row>
    <row r="28" spans="1:20" x14ac:dyDescent="0.45">
      <c r="A28" s="323">
        <f>INDEX(TPersonnel[ID],25)</f>
        <v>2792</v>
      </c>
      <c r="B28" s="11" t="str">
        <f>INDEX(TPersonnel[Nom],25)</f>
        <v>FOSSE</v>
      </c>
      <c r="C28" s="11" t="str">
        <f>INDEX(TPersonnel[Prénom],25)</f>
        <v>Eva</v>
      </c>
      <c r="D28" s="11" t="str">
        <f>INDEX(TPersonnel[Site],25)</f>
        <v>VALENCE</v>
      </c>
      <c r="E28" s="11" t="str">
        <f>INDEX(TPersonnel[Fonction],25)</f>
        <v>Exploitante</v>
      </c>
      <c r="F28" s="11" t="str">
        <f>INDEX(TPersonnel[Catégorie],25)</f>
        <v>Agent de maîtrise</v>
      </c>
      <c r="G28" s="12">
        <f ca="1">INDEX(TPersonnel[Ancienneté (ans) à la date théorique de sortie],25)</f>
        <v>2.3956194387405887</v>
      </c>
      <c r="H28" s="13">
        <f>INDEX(TPersonnel[Salaire Brut de référence],25)</f>
        <v>2800</v>
      </c>
      <c r="I28" s="10">
        <f>INDEX(TPersonnel[INDEM LÉGALE],25)</f>
        <v>0</v>
      </c>
      <c r="J28" s="10">
        <f>INDEX(TPersonnel[INDEM CONV.],25)</f>
        <v>0</v>
      </c>
      <c r="K28" s="14" t="str">
        <f>INDEX(TPersonnel[COMPARAISON],25)</f>
        <v/>
      </c>
      <c r="L28" s="15">
        <f>INDEX(TPersonnel[INDEM RETENUE],25)</f>
        <v>0</v>
      </c>
      <c r="M28" s="10">
        <f>INDEX(TPersonnel[Majoration PSE],25)</f>
        <v>0</v>
      </c>
      <c r="N28" s="16">
        <f>INDEX(TPersonnel[TOTAL INDEM],25)</f>
        <v>0</v>
      </c>
      <c r="O28" s="14">
        <f>INDEX(TPersonnel[Préavis Calc (mois)],25)</f>
        <v>0</v>
      </c>
      <c r="P28" s="10">
        <f>INDEX(TPersonnel[Indem Préavis Brut],25)</f>
        <v>0</v>
      </c>
      <c r="Q28" s="14">
        <f>INDEX(TPersonnel[CP Calc (jrs)],25)</f>
        <v>0</v>
      </c>
      <c r="R28" s="10">
        <f>INDEX(TPersonnel[Indem CP],25)</f>
        <v>0</v>
      </c>
      <c r="S28" s="10">
        <f>INDEX(TPersonnel[COÛT Charges Patronales],25)</f>
        <v>0</v>
      </c>
      <c r="T28" s="17">
        <f>INDEX(TPersonnel[COÛT TOTAL],25)</f>
        <v>0</v>
      </c>
    </row>
    <row r="29" spans="1:20" x14ac:dyDescent="0.45">
      <c r="A29" s="323">
        <f>INDEX(TPersonnel[ID],26)</f>
        <v>2793</v>
      </c>
      <c r="B29" s="11" t="str">
        <f>INDEX(TPersonnel[Nom],26)</f>
        <v>JACQUOT</v>
      </c>
      <c r="C29" s="11" t="str">
        <f>INDEX(TPersonnel[Prénom],26)</f>
        <v>Grégory</v>
      </c>
      <c r="D29" s="11" t="str">
        <f>INDEX(TPersonnel[Site],26)</f>
        <v>PUSIGNAN</v>
      </c>
      <c r="E29" s="11" t="str">
        <f>INDEX(TPersonnel[Fonction],26)</f>
        <v>Chef de quai</v>
      </c>
      <c r="F29" s="11" t="str">
        <f>INDEX(TPersonnel[Catégorie],26)</f>
        <v>Ouvrier</v>
      </c>
      <c r="G29" s="12">
        <f ca="1">INDEX(TPersonnel[Ancienneté (ans) à la date théorique de sortie],26)</f>
        <v>2.1464750171115674</v>
      </c>
      <c r="H29" s="13">
        <f>INDEX(TPersonnel[Salaire Brut de référence],26)</f>
        <v>2494.92</v>
      </c>
      <c r="I29" s="10">
        <f>INDEX(TPersonnel[INDEM LÉGALE],26)</f>
        <v>0</v>
      </c>
      <c r="J29" s="10">
        <f>INDEX(TPersonnel[INDEM CONV.],26)</f>
        <v>0</v>
      </c>
      <c r="K29" s="14" t="str">
        <f>INDEX(TPersonnel[COMPARAISON],26)</f>
        <v/>
      </c>
      <c r="L29" s="15">
        <f>INDEX(TPersonnel[INDEM RETENUE],26)</f>
        <v>0</v>
      </c>
      <c r="M29" s="10">
        <f>INDEX(TPersonnel[Majoration PSE],26)</f>
        <v>0</v>
      </c>
      <c r="N29" s="16">
        <f>INDEX(TPersonnel[TOTAL INDEM],26)</f>
        <v>0</v>
      </c>
      <c r="O29" s="14">
        <f>INDEX(TPersonnel[Préavis Calc (mois)],26)</f>
        <v>0</v>
      </c>
      <c r="P29" s="10">
        <f>INDEX(TPersonnel[Indem Préavis Brut],26)</f>
        <v>0</v>
      </c>
      <c r="Q29" s="14">
        <f>INDEX(TPersonnel[CP Calc (jrs)],26)</f>
        <v>0</v>
      </c>
      <c r="R29" s="10">
        <f>INDEX(TPersonnel[Indem CP],26)</f>
        <v>0</v>
      </c>
      <c r="S29" s="10">
        <f>INDEX(TPersonnel[COÛT Charges Patronales],26)</f>
        <v>0</v>
      </c>
      <c r="T29" s="17">
        <f>INDEX(TPersonnel[COÛT TOTAL],26)</f>
        <v>0</v>
      </c>
    </row>
    <row r="30" spans="1:20" x14ac:dyDescent="0.45">
      <c r="A30" s="323">
        <f>INDEX(TPersonnel[ID],27)</f>
        <v>2794</v>
      </c>
      <c r="B30" s="11" t="str">
        <f>INDEX(TPersonnel[Nom],27)</f>
        <v>PENNACCHI</v>
      </c>
      <c r="C30" s="11" t="str">
        <f>INDEX(TPersonnel[Prénom],27)</f>
        <v>Eric</v>
      </c>
      <c r="D30" s="11" t="str">
        <f>INDEX(TPersonnel[Site],27)</f>
        <v>ROGNAC</v>
      </c>
      <c r="E30" s="11" t="str">
        <f>INDEX(TPersonnel[Fonction],27)</f>
        <v>Conducteur PL</v>
      </c>
      <c r="F30" s="11" t="str">
        <f>INDEX(TPersonnel[Catégorie],27)</f>
        <v>Ouvrier</v>
      </c>
      <c r="G30" s="12">
        <f ca="1">INDEX(TPersonnel[Ancienneté (ans) à la date théorique de sortie],27)</f>
        <v>2.0807665982203969</v>
      </c>
      <c r="H30" s="13">
        <f>INDEX(TPersonnel[Salaire Brut de référence],27)</f>
        <v>2577.89</v>
      </c>
      <c r="I30" s="10">
        <f>INDEX(TPersonnel[INDEM LÉGALE],27)</f>
        <v>0</v>
      </c>
      <c r="J30" s="10">
        <f>INDEX(TPersonnel[INDEM CONV.],27)</f>
        <v>0</v>
      </c>
      <c r="K30" s="14" t="str">
        <f>INDEX(TPersonnel[COMPARAISON],27)</f>
        <v/>
      </c>
      <c r="L30" s="15">
        <f>INDEX(TPersonnel[INDEM RETENUE],27)</f>
        <v>0</v>
      </c>
      <c r="M30" s="10">
        <f>INDEX(TPersonnel[Majoration PSE],27)</f>
        <v>0</v>
      </c>
      <c r="N30" s="16">
        <f>INDEX(TPersonnel[TOTAL INDEM],27)</f>
        <v>0</v>
      </c>
      <c r="O30" s="14">
        <f>INDEX(TPersonnel[Préavis Calc (mois)],27)</f>
        <v>0</v>
      </c>
      <c r="P30" s="10">
        <f>INDEX(TPersonnel[Indem Préavis Brut],27)</f>
        <v>0</v>
      </c>
      <c r="Q30" s="14">
        <f>INDEX(TPersonnel[CP Calc (jrs)],27)</f>
        <v>0</v>
      </c>
      <c r="R30" s="10">
        <f>INDEX(TPersonnel[Indem CP],27)</f>
        <v>0</v>
      </c>
      <c r="S30" s="10">
        <f>INDEX(TPersonnel[COÛT Charges Patronales],27)</f>
        <v>0</v>
      </c>
      <c r="T30" s="17">
        <f>INDEX(TPersonnel[COÛT TOTAL],27)</f>
        <v>0</v>
      </c>
    </row>
    <row r="31" spans="1:20" x14ac:dyDescent="0.45">
      <c r="A31" s="323">
        <f>INDEX(TPersonnel[ID],28)</f>
        <v>2797</v>
      </c>
      <c r="B31" s="11" t="str">
        <f>INDEX(TPersonnel[Nom],28)</f>
        <v>BUJNOWSKYJ</v>
      </c>
      <c r="C31" s="11" t="str">
        <f>INDEX(TPersonnel[Prénom],28)</f>
        <v>Sandrine née MOREL</v>
      </c>
      <c r="D31" s="11" t="str">
        <f>INDEX(TPersonnel[Site],28)</f>
        <v>PUSIGNAN</v>
      </c>
      <c r="E31" s="11" t="str">
        <f>INDEX(TPersonnel[Fonction],28)</f>
        <v>Assistante exploitation</v>
      </c>
      <c r="F31" s="11" t="str">
        <f>INDEX(TPersonnel[Catégorie],28)</f>
        <v>Employé</v>
      </c>
      <c r="G31" s="12">
        <f ca="1">INDEX(TPersonnel[Ancienneté (ans) à la date théorique de sortie],28)</f>
        <v>1.7440109514031485</v>
      </c>
      <c r="H31" s="13">
        <f>INDEX(TPersonnel[Salaire Brut de référence],28)</f>
        <v>2500</v>
      </c>
      <c r="I31" s="10">
        <f>INDEX(TPersonnel[INDEM LÉGALE],28)</f>
        <v>0</v>
      </c>
      <c r="J31" s="10">
        <f>INDEX(TPersonnel[INDEM CONV.],28)</f>
        <v>0</v>
      </c>
      <c r="K31" s="14" t="str">
        <f>INDEX(TPersonnel[COMPARAISON],28)</f>
        <v/>
      </c>
      <c r="L31" s="15">
        <f>INDEX(TPersonnel[INDEM RETENUE],28)</f>
        <v>0</v>
      </c>
      <c r="M31" s="10">
        <f>INDEX(TPersonnel[Majoration PSE],28)</f>
        <v>0</v>
      </c>
      <c r="N31" s="16">
        <f>INDEX(TPersonnel[TOTAL INDEM],28)</f>
        <v>0</v>
      </c>
      <c r="O31" s="14">
        <f>INDEX(TPersonnel[Préavis Calc (mois)],28)</f>
        <v>0</v>
      </c>
      <c r="P31" s="10">
        <f>INDEX(TPersonnel[Indem Préavis Brut],28)</f>
        <v>0</v>
      </c>
      <c r="Q31" s="14">
        <f>INDEX(TPersonnel[CP Calc (jrs)],28)</f>
        <v>0</v>
      </c>
      <c r="R31" s="10">
        <f>INDEX(TPersonnel[Indem CP],28)</f>
        <v>0</v>
      </c>
      <c r="S31" s="10">
        <f>INDEX(TPersonnel[COÛT Charges Patronales],28)</f>
        <v>0</v>
      </c>
      <c r="T31" s="17">
        <f>INDEX(TPersonnel[COÛT TOTAL],28)</f>
        <v>0</v>
      </c>
    </row>
    <row r="32" spans="1:20" x14ac:dyDescent="0.45">
      <c r="A32" s="323">
        <f>INDEX(TPersonnel[ID],29)</f>
        <v>2798</v>
      </c>
      <c r="B32" s="11" t="str">
        <f>INDEX(TPersonnel[Nom],29)</f>
        <v>REGUIG</v>
      </c>
      <c r="C32" s="11" t="str">
        <f>INDEX(TPersonnel[Prénom],29)</f>
        <v>Boris</v>
      </c>
      <c r="D32" s="11" t="str">
        <f>INDEX(TPersonnel[Site],29)</f>
        <v>PUSIGNAN</v>
      </c>
      <c r="E32" s="11" t="str">
        <f>INDEX(TPersonnel[Fonction],29)</f>
        <v>Exploitant affréteur</v>
      </c>
      <c r="F32" s="11" t="str">
        <f>INDEX(TPersonnel[Catégorie],29)</f>
        <v>Agent de maîtrise</v>
      </c>
      <c r="G32" s="12">
        <f ca="1">INDEX(TPersonnel[Ancienneté (ans) à la date théorique de sortie],29)</f>
        <v>1.7056810403832992</v>
      </c>
      <c r="H32" s="13">
        <f>INDEX(TPersonnel[Salaire Brut de référence],29)</f>
        <v>3527</v>
      </c>
      <c r="I32" s="10">
        <f>INDEX(TPersonnel[INDEM LÉGALE],29)</f>
        <v>0</v>
      </c>
      <c r="J32" s="10">
        <f>INDEX(TPersonnel[INDEM CONV.],29)</f>
        <v>0</v>
      </c>
      <c r="K32" s="14" t="str">
        <f>INDEX(TPersonnel[COMPARAISON],29)</f>
        <v/>
      </c>
      <c r="L32" s="15">
        <f>INDEX(TPersonnel[INDEM RETENUE],29)</f>
        <v>0</v>
      </c>
      <c r="M32" s="10">
        <f>INDEX(TPersonnel[Majoration PSE],29)</f>
        <v>0</v>
      </c>
      <c r="N32" s="16">
        <f>INDEX(TPersonnel[TOTAL INDEM],29)</f>
        <v>0</v>
      </c>
      <c r="O32" s="14">
        <f>INDEX(TPersonnel[Préavis Calc (mois)],29)</f>
        <v>0</v>
      </c>
      <c r="P32" s="10">
        <f>INDEX(TPersonnel[Indem Préavis Brut],29)</f>
        <v>0</v>
      </c>
      <c r="Q32" s="14">
        <f>INDEX(TPersonnel[CP Calc (jrs)],29)</f>
        <v>0</v>
      </c>
      <c r="R32" s="10">
        <f>INDEX(TPersonnel[Indem CP],29)</f>
        <v>0</v>
      </c>
      <c r="S32" s="10">
        <f>INDEX(TPersonnel[COÛT Charges Patronales],29)</f>
        <v>0</v>
      </c>
      <c r="T32" s="17">
        <f>INDEX(TPersonnel[COÛT TOTAL],29)</f>
        <v>0</v>
      </c>
    </row>
    <row r="33" spans="1:20" x14ac:dyDescent="0.45">
      <c r="A33" s="323">
        <f>INDEX(TPersonnel[ID],30)</f>
        <v>2805</v>
      </c>
      <c r="B33" s="11" t="str">
        <f>INDEX(TPersonnel[Nom],30)</f>
        <v>BOUDRAA</v>
      </c>
      <c r="C33" s="11" t="str">
        <f>INDEX(TPersonnel[Prénom],30)</f>
        <v>Khalid</v>
      </c>
      <c r="D33" s="11" t="str">
        <f>INDEX(TPersonnel[Site],30)</f>
        <v>PUSIGNAN</v>
      </c>
      <c r="E33" s="11" t="str">
        <f>INDEX(TPersonnel[Fonction],30)</f>
        <v>Assistant exploitation</v>
      </c>
      <c r="F33" s="11" t="str">
        <f>INDEX(TPersonnel[Catégorie],30)</f>
        <v>Apprenti</v>
      </c>
      <c r="G33" s="12">
        <f ca="1">INDEX(TPersonnel[Ancienneté (ans) à la date théorique de sortie],30)</f>
        <v>0.56673511293634493</v>
      </c>
      <c r="H33" s="13">
        <f>INDEX(TPersonnel[Salaire Brut de référence],30)</f>
        <v>1010.72</v>
      </c>
      <c r="I33" s="10">
        <f>INDEX(TPersonnel[INDEM LÉGALE],30)</f>
        <v>0</v>
      </c>
      <c r="J33" s="10">
        <f>INDEX(TPersonnel[INDEM CONV.],30)</f>
        <v>0</v>
      </c>
      <c r="K33" s="14" t="str">
        <f>INDEX(TPersonnel[COMPARAISON],30)</f>
        <v/>
      </c>
      <c r="L33" s="15">
        <f>INDEX(TPersonnel[INDEM RETENUE],30)</f>
        <v>0</v>
      </c>
      <c r="M33" s="10">
        <f>INDEX(TPersonnel[Majoration PSE],30)</f>
        <v>0</v>
      </c>
      <c r="N33" s="16">
        <f>INDEX(TPersonnel[TOTAL INDEM],30)</f>
        <v>0</v>
      </c>
      <c r="O33" s="14">
        <f>INDEX(TPersonnel[Préavis Calc (mois)],30)</f>
        <v>0</v>
      </c>
      <c r="P33" s="10">
        <f>INDEX(TPersonnel[Indem Préavis Brut],30)</f>
        <v>0</v>
      </c>
      <c r="Q33" s="14">
        <f>INDEX(TPersonnel[CP Calc (jrs)],30)</f>
        <v>0</v>
      </c>
      <c r="R33" s="10">
        <f>INDEX(TPersonnel[Indem CP],30)</f>
        <v>0</v>
      </c>
      <c r="S33" s="10">
        <f>INDEX(TPersonnel[COÛT Charges Patronales],30)</f>
        <v>0</v>
      </c>
      <c r="T33" s="17">
        <f>INDEX(TPersonnel[COÛT TOTAL],30)</f>
        <v>0</v>
      </c>
    </row>
    <row r="34" spans="1:20" x14ac:dyDescent="0.45">
      <c r="A34" s="323">
        <f>INDEX(TPersonnel[ID],31)</f>
        <v>2806</v>
      </c>
      <c r="B34" s="11" t="str">
        <f>INDEX(TPersonnel[Nom],31)</f>
        <v>ELIBAL</v>
      </c>
      <c r="C34" s="11" t="str">
        <f>INDEX(TPersonnel[Prénom],31)</f>
        <v>Rumeysa</v>
      </c>
      <c r="D34" s="11" t="str">
        <f>INDEX(TPersonnel[Site],31)</f>
        <v>PUSIGNAN</v>
      </c>
      <c r="E34" s="11" t="str">
        <f>INDEX(TPersonnel[Fonction],31)</f>
        <v>Assistante Exploitation</v>
      </c>
      <c r="F34" s="11" t="str">
        <f>INDEX(TPersonnel[Catégorie],31)</f>
        <v>Apprenti</v>
      </c>
      <c r="G34" s="12">
        <f ca="1">INDEX(TPersonnel[Ancienneté (ans) à la date théorique de sortie],31)</f>
        <v>0.53661875427789185</v>
      </c>
      <c r="H34" s="13">
        <f>INDEX(TPersonnel[Salaire Brut de référence],31)</f>
        <v>1010.72</v>
      </c>
      <c r="I34" s="10">
        <f>INDEX(TPersonnel[INDEM LÉGALE],31)</f>
        <v>0</v>
      </c>
      <c r="J34" s="10">
        <f>INDEX(TPersonnel[INDEM CONV.],31)</f>
        <v>0</v>
      </c>
      <c r="K34" s="14" t="str">
        <f>INDEX(TPersonnel[COMPARAISON],31)</f>
        <v/>
      </c>
      <c r="L34" s="15">
        <f>INDEX(TPersonnel[INDEM RETENUE],31)</f>
        <v>0</v>
      </c>
      <c r="M34" s="10">
        <f>INDEX(TPersonnel[Majoration PSE],31)</f>
        <v>0</v>
      </c>
      <c r="N34" s="16">
        <f>INDEX(TPersonnel[TOTAL INDEM],31)</f>
        <v>0</v>
      </c>
      <c r="O34" s="14">
        <f>INDEX(TPersonnel[Préavis Calc (mois)],31)</f>
        <v>0</v>
      </c>
      <c r="P34" s="10">
        <f>INDEX(TPersonnel[Indem Préavis Brut],31)</f>
        <v>0</v>
      </c>
      <c r="Q34" s="14">
        <f>INDEX(TPersonnel[CP Calc (jrs)],31)</f>
        <v>0</v>
      </c>
      <c r="R34" s="10">
        <f>INDEX(TPersonnel[Indem CP],31)</f>
        <v>0</v>
      </c>
      <c r="S34" s="10">
        <f>INDEX(TPersonnel[COÛT Charges Patronales],31)</f>
        <v>0</v>
      </c>
      <c r="T34" s="17">
        <f>INDEX(TPersonnel[COÛT TOTAL],31)</f>
        <v>0</v>
      </c>
    </row>
    <row r="35" spans="1:20" x14ac:dyDescent="0.45">
      <c r="A35" s="323">
        <f>INDEX(TPersonnel[ID],32)</f>
        <v>2807</v>
      </c>
      <c r="B35" s="11" t="str">
        <f>INDEX(TPersonnel[Nom],32)</f>
        <v>NICAISE</v>
      </c>
      <c r="C35" s="11" t="str">
        <f>INDEX(TPersonnel[Prénom],32)</f>
        <v>Frédéric</v>
      </c>
      <c r="D35" s="11" t="str">
        <f>INDEX(TPersonnel[Site],32)</f>
        <v>PUSIGNAN</v>
      </c>
      <c r="E35" s="11" t="str">
        <f>INDEX(TPersonnel[Fonction],32)</f>
        <v>Conducteur PL</v>
      </c>
      <c r="F35" s="11" t="str">
        <f>INDEX(TPersonnel[Catégorie],32)</f>
        <v>Ouvrier</v>
      </c>
      <c r="G35" s="12">
        <f ca="1">INDEX(TPersonnel[Ancienneté (ans) à la date théorique de sortie],32)</f>
        <v>4.3312799452429847</v>
      </c>
      <c r="H35" s="13">
        <f>INDEX(TPersonnel[Salaire Brut de référence],32)</f>
        <v>3565.23</v>
      </c>
      <c r="I35" s="10">
        <f>INDEX(TPersonnel[INDEM LÉGALE],32)</f>
        <v>0</v>
      </c>
      <c r="J35" s="10">
        <f>INDEX(TPersonnel[INDEM CONV.],32)</f>
        <v>0</v>
      </c>
      <c r="K35" s="14" t="str">
        <f>INDEX(TPersonnel[COMPARAISON],32)</f>
        <v/>
      </c>
      <c r="L35" s="15">
        <f>INDEX(TPersonnel[INDEM RETENUE],32)</f>
        <v>0</v>
      </c>
      <c r="M35" s="10">
        <f>INDEX(TPersonnel[Majoration PSE],32)</f>
        <v>0</v>
      </c>
      <c r="N35" s="16">
        <f>INDEX(TPersonnel[TOTAL INDEM],32)</f>
        <v>0</v>
      </c>
      <c r="O35" s="14">
        <f>INDEX(TPersonnel[Préavis Calc (mois)],32)</f>
        <v>0</v>
      </c>
      <c r="P35" s="10">
        <f>INDEX(TPersonnel[Indem Préavis Brut],32)</f>
        <v>0</v>
      </c>
      <c r="Q35" s="14">
        <f>INDEX(TPersonnel[CP Calc (jrs)],32)</f>
        <v>0</v>
      </c>
      <c r="R35" s="10">
        <f>INDEX(TPersonnel[Indem CP],32)</f>
        <v>0</v>
      </c>
      <c r="S35" s="10">
        <f>INDEX(TPersonnel[COÛT Charges Patronales],32)</f>
        <v>0</v>
      </c>
      <c r="T35" s="17">
        <f>INDEX(TPersonnel[COÛT TOTAL],32)</f>
        <v>0</v>
      </c>
    </row>
    <row r="36" spans="1:20" x14ac:dyDescent="0.45">
      <c r="A36" s="323">
        <f>INDEX(TPersonnel[ID],33)</f>
        <v>2808</v>
      </c>
      <c r="B36" s="11" t="str">
        <f>INDEX(TPersonnel[Nom],33)</f>
        <v>ROCHAS</v>
      </c>
      <c r="C36" s="11" t="str">
        <f>INDEX(TPersonnel[Prénom],33)</f>
        <v>Christelle</v>
      </c>
      <c r="D36" s="11" t="str">
        <f>INDEX(TPersonnel[Site],33)</f>
        <v>PUSIGNAN</v>
      </c>
      <c r="E36" s="11" t="str">
        <f>INDEX(TPersonnel[Fonction],33)</f>
        <v>Commerciale</v>
      </c>
      <c r="F36" s="11" t="str">
        <f>INDEX(TPersonnel[Catégorie],33)</f>
        <v>Agent de maîtrise</v>
      </c>
      <c r="G36" s="12">
        <f ca="1">INDEX(TPersonnel[Ancienneté (ans) à la date théorique de sortie],33)</f>
        <v>0.53661875427789185</v>
      </c>
      <c r="H36" s="13">
        <f>INDEX(TPersonnel[Salaire Brut de référence],33)</f>
        <v>2852</v>
      </c>
      <c r="I36" s="10">
        <f>INDEX(TPersonnel[INDEM LÉGALE],33)</f>
        <v>0</v>
      </c>
      <c r="J36" s="10">
        <f>INDEX(TPersonnel[INDEM CONV.],33)</f>
        <v>0</v>
      </c>
      <c r="K36" s="14" t="str">
        <f>INDEX(TPersonnel[COMPARAISON],33)</f>
        <v/>
      </c>
      <c r="L36" s="15">
        <f>INDEX(TPersonnel[INDEM RETENUE],33)</f>
        <v>0</v>
      </c>
      <c r="M36" s="10">
        <f>INDEX(TPersonnel[Majoration PSE],33)</f>
        <v>0</v>
      </c>
      <c r="N36" s="16">
        <f>INDEX(TPersonnel[TOTAL INDEM],33)</f>
        <v>0</v>
      </c>
      <c r="O36" s="14">
        <f>INDEX(TPersonnel[Préavis Calc (mois)],33)</f>
        <v>0</v>
      </c>
      <c r="P36" s="10">
        <f>INDEX(TPersonnel[Indem Préavis Brut],33)</f>
        <v>0</v>
      </c>
      <c r="Q36" s="14">
        <f>INDEX(TPersonnel[CP Calc (jrs)],33)</f>
        <v>0</v>
      </c>
      <c r="R36" s="10">
        <f>INDEX(TPersonnel[Indem CP],33)</f>
        <v>0</v>
      </c>
      <c r="S36" s="10">
        <f>INDEX(TPersonnel[COÛT Charges Patronales],33)</f>
        <v>0</v>
      </c>
      <c r="T36" s="17">
        <f>INDEX(TPersonnel[COÛT TOTAL],33)</f>
        <v>0</v>
      </c>
    </row>
    <row r="37" spans="1:20" x14ac:dyDescent="0.45">
      <c r="A37" s="323">
        <f>INDEX(TPersonnel[ID],34)</f>
        <v>2809</v>
      </c>
      <c r="B37" s="11" t="str">
        <f>INDEX(TPersonnel[Nom],34)</f>
        <v>LELIEVRE-OUDIN</v>
      </c>
      <c r="C37" s="11" t="str">
        <f>INDEX(TPersonnel[Prénom],34)</f>
        <v>Fabien</v>
      </c>
      <c r="D37" s="11" t="str">
        <f>INDEX(TPersonnel[Site],34)</f>
        <v>PUSIGNAN</v>
      </c>
      <c r="E37" s="11" t="str">
        <f>INDEX(TPersonnel[Fonction],34)</f>
        <v>Affréteur</v>
      </c>
      <c r="F37" s="11" t="str">
        <f>INDEX(TPersonnel[Catégorie],34)</f>
        <v>Agent de maîtrise</v>
      </c>
      <c r="G37" s="12">
        <f ca="1">INDEX(TPersonnel[Ancienneté (ans) à la date théorique de sortie],34)</f>
        <v>0.45448323066392882</v>
      </c>
      <c r="H37" s="13">
        <f>INDEX(TPersonnel[Salaire Brut de référence],34)</f>
        <v>3000</v>
      </c>
      <c r="I37" s="10">
        <f>INDEX(TPersonnel[INDEM LÉGALE],34)</f>
        <v>0</v>
      </c>
      <c r="J37" s="10">
        <f>INDEX(TPersonnel[INDEM CONV.],34)</f>
        <v>0</v>
      </c>
      <c r="K37" s="14" t="str">
        <f>INDEX(TPersonnel[COMPARAISON],34)</f>
        <v/>
      </c>
      <c r="L37" s="15">
        <f>INDEX(TPersonnel[INDEM RETENUE],34)</f>
        <v>0</v>
      </c>
      <c r="M37" s="10">
        <f>INDEX(TPersonnel[Majoration PSE],34)</f>
        <v>0</v>
      </c>
      <c r="N37" s="16">
        <f>INDEX(TPersonnel[TOTAL INDEM],34)</f>
        <v>0</v>
      </c>
      <c r="O37" s="14">
        <f>INDEX(TPersonnel[Préavis Calc (mois)],34)</f>
        <v>0</v>
      </c>
      <c r="P37" s="10">
        <f>INDEX(TPersonnel[Indem Préavis Brut],34)</f>
        <v>0</v>
      </c>
      <c r="Q37" s="14">
        <f>INDEX(TPersonnel[CP Calc (jrs)],34)</f>
        <v>0</v>
      </c>
      <c r="R37" s="10">
        <f>INDEX(TPersonnel[Indem CP],34)</f>
        <v>0</v>
      </c>
      <c r="S37" s="10">
        <f>INDEX(TPersonnel[COÛT Charges Patronales],34)</f>
        <v>0</v>
      </c>
      <c r="T37" s="17">
        <f>INDEX(TPersonnel[COÛT TOTAL],34)</f>
        <v>0</v>
      </c>
    </row>
    <row r="38" spans="1:20" x14ac:dyDescent="0.45">
      <c r="A38" s="323"/>
      <c r="B38" s="11"/>
      <c r="C38" s="11"/>
      <c r="D38" s="11"/>
      <c r="E38" s="11"/>
      <c r="F38" s="11"/>
      <c r="G38" s="12"/>
      <c r="H38" s="13"/>
      <c r="I38" s="10"/>
      <c r="J38" s="10"/>
      <c r="K38" s="14"/>
      <c r="L38" s="15"/>
      <c r="M38" s="10"/>
      <c r="N38" s="16"/>
      <c r="O38" s="14"/>
      <c r="P38" s="10"/>
      <c r="Q38" s="14"/>
      <c r="R38" s="10"/>
      <c r="S38" s="10"/>
      <c r="T38" s="17"/>
    </row>
    <row r="39" spans="1:20" x14ac:dyDescent="0.45">
      <c r="A39" s="323"/>
      <c r="B39" s="11"/>
      <c r="C39" s="11"/>
      <c r="D39" s="11"/>
      <c r="E39" s="11"/>
      <c r="F39" s="11"/>
      <c r="G39" s="12"/>
      <c r="H39" s="13"/>
      <c r="I39" s="10"/>
      <c r="J39" s="10"/>
      <c r="K39" s="14"/>
      <c r="L39" s="15"/>
      <c r="M39" s="10"/>
      <c r="N39" s="16"/>
      <c r="O39" s="14"/>
      <c r="P39" s="10"/>
      <c r="Q39" s="14"/>
      <c r="R39" s="10"/>
      <c r="S39" s="10"/>
      <c r="T39" s="17"/>
    </row>
    <row r="40" spans="1:20" x14ac:dyDescent="0.45">
      <c r="A40" s="369" t="s">
        <v>285</v>
      </c>
      <c r="B40" s="354"/>
      <c r="C40" s="354"/>
      <c r="D40" s="354"/>
      <c r="E40" s="354"/>
      <c r="F40" s="354"/>
      <c r="G40" s="354"/>
      <c r="H40" s="354"/>
      <c r="I40" s="350">
        <f>SUM(TPersonnel[INDEM LÉGALE])</f>
        <v>0</v>
      </c>
      <c r="J40" s="350">
        <f>SUM(TPersonnel[INDEM CONV.])</f>
        <v>0</v>
      </c>
      <c r="L40" s="350">
        <f>SUM(TPersonnel[INDEM RETENUE])</f>
        <v>0</v>
      </c>
      <c r="M40" s="350">
        <f>SUM(TPersonnel[Majoration PSE])</f>
        <v>0</v>
      </c>
      <c r="N40" s="350">
        <f>SUM(TPersonnel[TOTAL INDEM])</f>
        <v>0</v>
      </c>
      <c r="P40" s="350">
        <f>SUM(TPersonnel[Indem Préavis Brut])</f>
        <v>0</v>
      </c>
      <c r="Q40" s="192">
        <f>SUM(TPersonnel[CP Calc (jrs)])</f>
        <v>0</v>
      </c>
      <c r="R40" s="350">
        <f>SUM(TPersonnel[Indem CP])</f>
        <v>0</v>
      </c>
      <c r="S40" s="350">
        <f>SUM(TPersonnel[COÛT Charges Patronales])</f>
        <v>0</v>
      </c>
      <c r="T40" s="350">
        <f>SUM(TPersonnel[COÛT TOTAL])</f>
        <v>0</v>
      </c>
    </row>
  </sheetData>
  <autoFilter ref="A3:T37" xr:uid="{00000000-0001-0000-0300-000000000000}"/>
  <mergeCells count="2">
    <mergeCell ref="A40:H40"/>
    <mergeCell ref="A1:T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3"/>
  <sheetViews>
    <sheetView workbookViewId="0">
      <selection activeCell="B34" sqref="B34"/>
    </sheetView>
  </sheetViews>
  <sheetFormatPr baseColWidth="10" defaultColWidth="9" defaultRowHeight="14.25" x14ac:dyDescent="0.45"/>
  <cols>
    <col min="2" max="2" width="40" customWidth="1"/>
    <col min="3" max="3" width="22" customWidth="1"/>
  </cols>
  <sheetData>
    <row r="1" spans="1:6" ht="18" x14ac:dyDescent="0.55000000000000004">
      <c r="A1" s="370" t="s">
        <v>286</v>
      </c>
      <c r="B1" s="354"/>
      <c r="C1" s="354"/>
      <c r="D1" s="354"/>
      <c r="E1" s="354"/>
      <c r="F1" s="354"/>
    </row>
    <row r="4" spans="1:6" ht="15.75" x14ac:dyDescent="0.5">
      <c r="A4" s="371" t="s">
        <v>287</v>
      </c>
      <c r="B4" s="354"/>
      <c r="C4" s="354"/>
    </row>
    <row r="6" spans="1:6" x14ac:dyDescent="0.45">
      <c r="B6" s="1" t="s">
        <v>239</v>
      </c>
      <c r="C6" s="1" t="s">
        <v>240</v>
      </c>
    </row>
    <row r="7" spans="1:6" x14ac:dyDescent="0.45">
      <c r="B7" t="s">
        <v>288</v>
      </c>
      <c r="C7" s="18">
        <f>ROWS(TPersonnel[])</f>
        <v>34</v>
      </c>
    </row>
    <row r="8" spans="1:6" x14ac:dyDescent="0.45">
      <c r="B8" t="s">
        <v>289</v>
      </c>
      <c r="C8" s="10">
        <f>SUM(TPersonnel[Salaire Annuel Total])</f>
        <v>1086602.04</v>
      </c>
    </row>
    <row r="9" spans="1:6" x14ac:dyDescent="0.45">
      <c r="B9" t="s">
        <v>290</v>
      </c>
      <c r="C9" s="10" cm="1">
        <f t="array" ref="C9">SUMPRODUCT(TPersonnel[Salaire Annuel Total]*IF(TPersonnel[Catégorie]="Ouvrier",'📈 Dashboard'!$B$32,IF(TPersonnel[Catégorie]="Cadre",'📈 Dashboard'!$B$34,'📈 Dashboard'!$B$33)))</f>
        <v>488970.91800000001</v>
      </c>
    </row>
    <row r="10" spans="1:6" x14ac:dyDescent="0.45">
      <c r="B10" t="s">
        <v>291</v>
      </c>
      <c r="C10" s="10">
        <f>C8+C9</f>
        <v>1575572.9580000001</v>
      </c>
    </row>
    <row r="13" spans="1:6" ht="15.75" x14ac:dyDescent="0.5">
      <c r="A13" s="371" t="s">
        <v>292</v>
      </c>
      <c r="B13" s="354"/>
      <c r="C13" s="354"/>
    </row>
    <row r="15" spans="1:6" x14ac:dyDescent="0.45">
      <c r="B15" s="1" t="s">
        <v>239</v>
      </c>
      <c r="C15" s="1" t="s">
        <v>240</v>
      </c>
    </row>
    <row r="16" spans="1:6" x14ac:dyDescent="0.45">
      <c r="B16" t="s">
        <v>293</v>
      </c>
      <c r="C16" s="18">
        <f>COUNTIF(TPersonnel[Fonction à supprimer],"OUI")</f>
        <v>0</v>
      </c>
    </row>
    <row r="17" spans="1:3" x14ac:dyDescent="0.45">
      <c r="B17" t="s">
        <v>294</v>
      </c>
      <c r="C17" s="18">
        <f>C7-C16</f>
        <v>34</v>
      </c>
    </row>
    <row r="18" spans="1:3" x14ac:dyDescent="0.45">
      <c r="B18" t="s">
        <v>295</v>
      </c>
      <c r="C18" s="10">
        <f>SUMIF(TPersonnel[Fonction à supprimer],"NON",TPersonnel[Salaire Annuel Total])</f>
        <v>1086602.04</v>
      </c>
    </row>
    <row r="19" spans="1:3" x14ac:dyDescent="0.45">
      <c r="B19" t="s">
        <v>290</v>
      </c>
      <c r="C19" s="10" cm="1">
        <f t="array" ref="C19">SUMPRODUCT((UPPER(TPersonnel[Fonction à supprimer])&lt;&gt;"OUI")*TPersonnel[Salaire Annuel Total]*IF(TPersonnel[Catégorie]="Ouvrier",'📈 Dashboard'!$B$32,IF(TPersonnel[Catégorie]="Cadre",'📈 Dashboard'!$B$34,'📈 Dashboard'!$B$33)))</f>
        <v>488970.91800000001</v>
      </c>
    </row>
    <row r="20" spans="1:3" x14ac:dyDescent="0.45">
      <c r="B20" t="s">
        <v>296</v>
      </c>
      <c r="C20" s="10">
        <f>C18+C19</f>
        <v>1575572.9580000001</v>
      </c>
    </row>
    <row r="23" spans="1:3" ht="15.75" x14ac:dyDescent="0.5">
      <c r="A23" s="372" t="s">
        <v>297</v>
      </c>
      <c r="B23" s="354"/>
      <c r="C23" s="354"/>
    </row>
    <row r="25" spans="1:3" x14ac:dyDescent="0.45">
      <c r="B25" s="1" t="s">
        <v>239</v>
      </c>
      <c r="C25" s="1" t="s">
        <v>240</v>
      </c>
    </row>
    <row r="26" spans="1:3" x14ac:dyDescent="0.45">
      <c r="B26" t="s">
        <v>298</v>
      </c>
      <c r="C26" s="19">
        <f>C16/C7</f>
        <v>0</v>
      </c>
    </row>
    <row r="27" spans="1:3" x14ac:dyDescent="0.45">
      <c r="B27" t="s">
        <v>299</v>
      </c>
      <c r="C27" s="10">
        <f>C8-C18</f>
        <v>0</v>
      </c>
    </row>
    <row r="28" spans="1:3" x14ac:dyDescent="0.45">
      <c r="B28" t="s">
        <v>300</v>
      </c>
      <c r="C28" s="10">
        <f>C9-C19</f>
        <v>0</v>
      </c>
    </row>
    <row r="29" spans="1:3" x14ac:dyDescent="0.45">
      <c r="B29" t="s">
        <v>301</v>
      </c>
      <c r="C29" s="10">
        <f>C10-C20</f>
        <v>0</v>
      </c>
    </row>
    <row r="31" spans="1:3" ht="15.75" x14ac:dyDescent="0.5">
      <c r="B31" s="349" t="s">
        <v>302</v>
      </c>
      <c r="C31" s="20">
        <f>SUM(TPersonnel[COÛT TOTAL])</f>
        <v>0</v>
      </c>
    </row>
    <row r="33" spans="2:3" x14ac:dyDescent="0.45">
      <c r="B33" s="175" t="s">
        <v>303</v>
      </c>
      <c r="C33" s="21">
        <f>IF(C29=0,0,C31/C29)</f>
        <v>0</v>
      </c>
    </row>
  </sheetData>
  <mergeCells count="4">
    <mergeCell ref="A4:C4"/>
    <mergeCell ref="A13:C13"/>
    <mergeCell ref="A1:F1"/>
    <mergeCell ref="A23:C23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8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40"/>
  <sheetViews>
    <sheetView workbookViewId="0">
      <selection activeCell="A3" sqref="A3"/>
    </sheetView>
  </sheetViews>
  <sheetFormatPr baseColWidth="10" defaultColWidth="9" defaultRowHeight="14.25" x14ac:dyDescent="0.45"/>
  <cols>
    <col min="1" max="1" width="6" style="185" customWidth="1"/>
    <col min="2" max="2" width="15" customWidth="1"/>
    <col min="3" max="3" width="18" customWidth="1"/>
    <col min="4" max="4" width="8" customWidth="1"/>
    <col min="5" max="5" width="14" customWidth="1"/>
    <col min="6" max="7" width="15" customWidth="1"/>
    <col min="8" max="8" width="14" customWidth="1"/>
    <col min="9" max="9" width="15" customWidth="1"/>
  </cols>
  <sheetData>
    <row r="1" spans="1:9" ht="18" x14ac:dyDescent="0.55000000000000004">
      <c r="A1" s="370" t="s">
        <v>304</v>
      </c>
      <c r="B1" s="354"/>
      <c r="C1" s="354"/>
      <c r="D1" s="354"/>
      <c r="E1" s="354"/>
      <c r="F1" s="354"/>
      <c r="G1" s="354"/>
      <c r="H1" s="354"/>
      <c r="I1" s="354"/>
    </row>
    <row r="3" spans="1:9" x14ac:dyDescent="0.45">
      <c r="A3" s="324" t="s">
        <v>1</v>
      </c>
      <c r="B3" s="22" t="s">
        <v>3</v>
      </c>
      <c r="C3" s="22" t="s">
        <v>6</v>
      </c>
      <c r="D3" s="22" t="s">
        <v>281</v>
      </c>
      <c r="E3" s="22" t="s">
        <v>305</v>
      </c>
      <c r="F3" s="22" t="s">
        <v>306</v>
      </c>
      <c r="G3" s="22" t="s">
        <v>307</v>
      </c>
      <c r="H3" s="22" t="s">
        <v>308</v>
      </c>
      <c r="I3" s="22" t="s">
        <v>309</v>
      </c>
    </row>
    <row r="4" spans="1:9" x14ac:dyDescent="0.45">
      <c r="A4" s="323">
        <f>INDEX(TPersonnel[ID],1)</f>
        <v>3</v>
      </c>
      <c r="B4" s="11" t="str">
        <f>INDEX(TPersonnel[Nom],1)</f>
        <v>BASTARD</v>
      </c>
      <c r="C4" s="11" t="str">
        <f>INDEX(TPersonnel[Fonction],1)</f>
        <v>Manutentionnaire</v>
      </c>
      <c r="D4" s="12">
        <f ca="1">INDEX(TPersonnel[Ancienneté (ans) à la date théorique de sortie],1)</f>
        <v>19.01163586584531</v>
      </c>
      <c r="E4" s="13">
        <f>INDEX(TPersonnel[Salaire Brut de référence],1)</f>
        <v>2320.54</v>
      </c>
      <c r="F4" s="13">
        <f>INDEX(TPersonnel[INDEM LÉGALE],1)</f>
        <v>0</v>
      </c>
      <c r="G4" s="13">
        <f>INDEX(TPersonnel[INDEM CONV.],1)</f>
        <v>0</v>
      </c>
      <c r="H4" s="10">
        <f t="shared" ref="H4:H37" si="0">G4-F4</f>
        <v>0</v>
      </c>
      <c r="I4" s="23" t="str">
        <f>INDEX(TPersonnel[COMPARAISON],1)</f>
        <v/>
      </c>
    </row>
    <row r="5" spans="1:9" x14ac:dyDescent="0.45">
      <c r="A5" s="323">
        <f>INDEX(TPersonnel[ID],2)</f>
        <v>8</v>
      </c>
      <c r="B5" s="11" t="str">
        <f>INDEX(TPersonnel[Nom],2)</f>
        <v>GERARD</v>
      </c>
      <c r="C5" s="11" t="str">
        <f>INDEX(TPersonnel[Fonction],2)</f>
        <v>Chauffeur PL</v>
      </c>
      <c r="D5" s="12">
        <f ca="1">INDEX(TPersonnel[Ancienneté (ans) à la date théorique de sortie],2)</f>
        <v>30.031485284052017</v>
      </c>
      <c r="E5" s="13">
        <f>INDEX(TPersonnel[Salaire Brut de référence],2)</f>
        <v>2635.89</v>
      </c>
      <c r="F5" s="13">
        <f>INDEX(TPersonnel[INDEM LÉGALE],2)</f>
        <v>0</v>
      </c>
      <c r="G5" s="13">
        <f>INDEX(TPersonnel[INDEM CONV.],2)</f>
        <v>0</v>
      </c>
      <c r="H5" s="10">
        <f t="shared" si="0"/>
        <v>0</v>
      </c>
      <c r="I5" s="23" t="str">
        <f>INDEX(TPersonnel[COMPARAISON],2)</f>
        <v/>
      </c>
    </row>
    <row r="6" spans="1:9" x14ac:dyDescent="0.45">
      <c r="A6" s="323">
        <f>INDEX(TPersonnel[ID],3)</f>
        <v>9</v>
      </c>
      <c r="B6" s="11" t="str">
        <f>INDEX(TPersonnel[Nom],3)</f>
        <v>GERARD</v>
      </c>
      <c r="C6" s="11" t="str">
        <f>INDEX(TPersonnel[Fonction],3)</f>
        <v>Chef de Quai Temp</v>
      </c>
      <c r="D6" s="12">
        <f ca="1">INDEX(TPersonnel[Ancienneté (ans) à la date théorique de sortie],3)</f>
        <v>28.90075290896646</v>
      </c>
      <c r="E6" s="13">
        <f>INDEX(TPersonnel[Salaire Brut de référence],3)</f>
        <v>2687.99</v>
      </c>
      <c r="F6" s="13">
        <f>INDEX(TPersonnel[INDEM LÉGALE],3)</f>
        <v>0</v>
      </c>
      <c r="G6" s="13">
        <f>INDEX(TPersonnel[INDEM CONV.],3)</f>
        <v>0</v>
      </c>
      <c r="H6" s="10">
        <f t="shared" si="0"/>
        <v>0</v>
      </c>
      <c r="I6" s="23" t="str">
        <f>INDEX(TPersonnel[COMPARAISON],3)</f>
        <v/>
      </c>
    </row>
    <row r="7" spans="1:9" x14ac:dyDescent="0.45">
      <c r="A7" s="323">
        <f>INDEX(TPersonnel[ID],4)</f>
        <v>18</v>
      </c>
      <c r="B7" s="11" t="str">
        <f>INDEX(TPersonnel[Nom],4)</f>
        <v>PAVARD</v>
      </c>
      <c r="C7" s="11" t="str">
        <f>INDEX(TPersonnel[Fonction],4)</f>
        <v>Chauffeur PL</v>
      </c>
      <c r="D7" s="12">
        <f ca="1">INDEX(TPersonnel[Ancienneté (ans) à la date théorique de sortie],4)</f>
        <v>22.896646132785762</v>
      </c>
      <c r="E7" s="13">
        <f>INDEX(TPersonnel[Salaire Brut de référence],4)</f>
        <v>3098.37</v>
      </c>
      <c r="F7" s="13">
        <f>INDEX(TPersonnel[INDEM LÉGALE],4)</f>
        <v>0</v>
      </c>
      <c r="G7" s="13">
        <f>INDEX(TPersonnel[INDEM CONV.],4)</f>
        <v>0</v>
      </c>
      <c r="H7" s="10">
        <f t="shared" si="0"/>
        <v>0</v>
      </c>
      <c r="I7" s="23" t="str">
        <f>INDEX(TPersonnel[COMPARAISON],4)</f>
        <v/>
      </c>
    </row>
    <row r="8" spans="1:9" x14ac:dyDescent="0.45">
      <c r="A8" s="323">
        <f>INDEX(TPersonnel[ID],5)</f>
        <v>19</v>
      </c>
      <c r="B8" s="11" t="str">
        <f>INDEX(TPersonnel[Nom],5)</f>
        <v>MOKRANI</v>
      </c>
      <c r="C8" s="11" t="str">
        <f>INDEX(TPersonnel[Fonction],5)</f>
        <v>Chauffeur PL</v>
      </c>
      <c r="D8" s="12">
        <f ca="1">INDEX(TPersonnel[Ancienneté (ans) à la date théorique de sortie],5)</f>
        <v>27.572895277207394</v>
      </c>
      <c r="E8" s="13">
        <f>INDEX(TPersonnel[Salaire Brut de référence],5)</f>
        <v>3238.84</v>
      </c>
      <c r="F8" s="13">
        <f>INDEX(TPersonnel[INDEM LÉGALE],5)</f>
        <v>0</v>
      </c>
      <c r="G8" s="13">
        <f>INDEX(TPersonnel[INDEM CONV.],5)</f>
        <v>0</v>
      </c>
      <c r="H8" s="10">
        <f t="shared" si="0"/>
        <v>0</v>
      </c>
      <c r="I8" s="23" t="str">
        <f>INDEX(TPersonnel[COMPARAISON],5)</f>
        <v/>
      </c>
    </row>
    <row r="9" spans="1:9" x14ac:dyDescent="0.45">
      <c r="A9" s="323">
        <f>INDEX(TPersonnel[ID],6)</f>
        <v>28</v>
      </c>
      <c r="B9" s="11" t="str">
        <f>INDEX(TPersonnel[Nom],6)</f>
        <v>BENSID AHMED</v>
      </c>
      <c r="C9" s="11" t="str">
        <f>INDEX(TPersonnel[Fonction],6)</f>
        <v>Chauffeur PL</v>
      </c>
      <c r="D9" s="12">
        <f ca="1">INDEX(TPersonnel[Ancienneté (ans) à la date théorique de sortie],6)</f>
        <v>18.606433949349761</v>
      </c>
      <c r="E9" s="13">
        <f>INDEX(TPersonnel[Salaire Brut de référence],6)</f>
        <v>3110.06</v>
      </c>
      <c r="F9" s="13">
        <f>INDEX(TPersonnel[INDEM LÉGALE],6)</f>
        <v>0</v>
      </c>
      <c r="G9" s="13">
        <f>INDEX(TPersonnel[INDEM CONV.],6)</f>
        <v>0</v>
      </c>
      <c r="H9" s="10">
        <f t="shared" si="0"/>
        <v>0</v>
      </c>
      <c r="I9" s="23" t="str">
        <f>INDEX(TPersonnel[COMPARAISON],6)</f>
        <v/>
      </c>
    </row>
    <row r="10" spans="1:9" x14ac:dyDescent="0.45">
      <c r="A10" s="323">
        <f>INDEX(TPersonnel[ID],7)</f>
        <v>31</v>
      </c>
      <c r="B10" s="11" t="str">
        <f>INDEX(TPersonnel[Nom],7)</f>
        <v>BOULAKHSOUMI</v>
      </c>
      <c r="C10" s="11" t="str">
        <f>INDEX(TPersonnel[Fonction],7)</f>
        <v>Resp Exploitation</v>
      </c>
      <c r="D10" s="12">
        <f ca="1">INDEX(TPersonnel[Ancienneté (ans) à la date théorique de sortie],7)</f>
        <v>10.924024640657084</v>
      </c>
      <c r="E10" s="13">
        <f>INDEX(TPersonnel[Salaire Brut de référence],7)</f>
        <v>3250</v>
      </c>
      <c r="F10" s="13">
        <f>INDEX(TPersonnel[INDEM LÉGALE],7)</f>
        <v>0</v>
      </c>
      <c r="G10" s="13">
        <f>INDEX(TPersonnel[INDEM CONV.],7)</f>
        <v>0</v>
      </c>
      <c r="H10" s="10">
        <f t="shared" si="0"/>
        <v>0</v>
      </c>
      <c r="I10" s="23" t="str">
        <f>INDEX(TPersonnel[COMPARAISON],7)</f>
        <v/>
      </c>
    </row>
    <row r="11" spans="1:9" x14ac:dyDescent="0.45">
      <c r="A11" s="323">
        <f>INDEX(TPersonnel[ID],8)</f>
        <v>33</v>
      </c>
      <c r="B11" s="11" t="str">
        <f>INDEX(TPersonnel[Nom],8)</f>
        <v>HAOUARI</v>
      </c>
      <c r="C11" s="11" t="str">
        <f>INDEX(TPersonnel[Fonction],8)</f>
        <v>Chauffeur PL</v>
      </c>
      <c r="D11" s="12">
        <f ca="1">INDEX(TPersonnel[Ancienneté (ans) à la date théorique de sortie],8)</f>
        <v>18.932238193018481</v>
      </c>
      <c r="E11" s="13">
        <f>INDEX(TPersonnel[Salaire Brut de référence],8)</f>
        <v>2827.92</v>
      </c>
      <c r="F11" s="13">
        <f>INDEX(TPersonnel[INDEM LÉGALE],8)</f>
        <v>0</v>
      </c>
      <c r="G11" s="13">
        <f>INDEX(TPersonnel[INDEM CONV.],8)</f>
        <v>0</v>
      </c>
      <c r="H11" s="10">
        <f t="shared" si="0"/>
        <v>0</v>
      </c>
      <c r="I11" s="23" t="str">
        <f>INDEX(TPersonnel[COMPARAISON],8)</f>
        <v/>
      </c>
    </row>
    <row r="12" spans="1:9" x14ac:dyDescent="0.45">
      <c r="A12" s="323">
        <f>INDEX(TPersonnel[ID],9)</f>
        <v>35</v>
      </c>
      <c r="B12" s="11" t="str">
        <f>INDEX(TPersonnel[Nom],9)</f>
        <v>GUENIFI</v>
      </c>
      <c r="C12" s="11" t="str">
        <f>INDEX(TPersonnel[Fonction],9)</f>
        <v>Chauffeur SPL</v>
      </c>
      <c r="D12" s="12">
        <f ca="1">INDEX(TPersonnel[Ancienneté (ans) à la date théorique de sortie],9)</f>
        <v>12.112251882272416</v>
      </c>
      <c r="E12" s="13">
        <f>INDEX(TPersonnel[Salaire Brut de référence],9)</f>
        <v>2842.93</v>
      </c>
      <c r="F12" s="13">
        <f>INDEX(TPersonnel[INDEM LÉGALE],9)</f>
        <v>0</v>
      </c>
      <c r="G12" s="13">
        <f>INDEX(TPersonnel[INDEM CONV.],9)</f>
        <v>0</v>
      </c>
      <c r="H12" s="10">
        <f t="shared" si="0"/>
        <v>0</v>
      </c>
      <c r="I12" s="23" t="str">
        <f>INDEX(TPersonnel[COMPARAISON],9)</f>
        <v/>
      </c>
    </row>
    <row r="13" spans="1:9" x14ac:dyDescent="0.45">
      <c r="A13" s="323">
        <f>INDEX(TPersonnel[ID],10)</f>
        <v>40</v>
      </c>
      <c r="B13" s="11" t="str">
        <f>INDEX(TPersonnel[Nom],10)</f>
        <v>TESTARD</v>
      </c>
      <c r="C13" s="11" t="str">
        <f>INDEX(TPersonnel[Fonction],10)</f>
        <v>Chauffeur PL</v>
      </c>
      <c r="D13" s="12">
        <f ca="1">INDEX(TPersonnel[Ancienneté (ans) à la date théorique de sortie],10)</f>
        <v>34.455852156057496</v>
      </c>
      <c r="E13" s="13">
        <f>INDEX(TPersonnel[Salaire Brut de référence],10)</f>
        <v>2974.39</v>
      </c>
      <c r="F13" s="13">
        <f>INDEX(TPersonnel[INDEM LÉGALE],10)</f>
        <v>0</v>
      </c>
      <c r="G13" s="13">
        <f>INDEX(TPersonnel[INDEM CONV.],10)</f>
        <v>0</v>
      </c>
      <c r="H13" s="10">
        <f t="shared" si="0"/>
        <v>0</v>
      </c>
      <c r="I13" s="23" t="str">
        <f>INDEX(TPersonnel[COMPARAISON],10)</f>
        <v/>
      </c>
    </row>
    <row r="14" spans="1:9" x14ac:dyDescent="0.45">
      <c r="A14" s="323">
        <f>INDEX(TPersonnel[ID],11)</f>
        <v>68</v>
      </c>
      <c r="B14" s="11" t="str">
        <f>INDEX(TPersonnel[Nom],11)</f>
        <v>MERLE</v>
      </c>
      <c r="C14" s="11" t="str">
        <f>INDEX(TPersonnel[Fonction],11)</f>
        <v>Chauffeur SPL</v>
      </c>
      <c r="D14" s="12">
        <f ca="1">INDEX(TPersonnel[Ancienneté (ans) à la date théorique de sortie],11)</f>
        <v>6.9568788501026697</v>
      </c>
      <c r="E14" s="13">
        <f>INDEX(TPersonnel[Salaire Brut de référence],11)</f>
        <v>2239.63</v>
      </c>
      <c r="F14" s="13">
        <f>INDEX(TPersonnel[INDEM LÉGALE],11)</f>
        <v>0</v>
      </c>
      <c r="G14" s="13">
        <f>INDEX(TPersonnel[INDEM CONV.],11)</f>
        <v>0</v>
      </c>
      <c r="H14" s="10">
        <f t="shared" si="0"/>
        <v>0</v>
      </c>
      <c r="I14" s="23" t="str">
        <f>INDEX(TPersonnel[COMPARAISON],11)</f>
        <v/>
      </c>
    </row>
    <row r="15" spans="1:9" x14ac:dyDescent="0.45">
      <c r="A15" s="323">
        <f>INDEX(TPersonnel[ID],12)</f>
        <v>69</v>
      </c>
      <c r="B15" s="11" t="str">
        <f>INDEX(TPersonnel[Nom],12)</f>
        <v>FERDJI</v>
      </c>
      <c r="C15" s="11" t="str">
        <f>INDEX(TPersonnel[Fonction],12)</f>
        <v>Chauffeur SPL</v>
      </c>
      <c r="D15" s="12">
        <f ca="1">INDEX(TPersonnel[Ancienneté (ans) à la date théorique de sortie],12)</f>
        <v>6.8610540725530456</v>
      </c>
      <c r="E15" s="13">
        <f>INDEX(TPersonnel[Salaire Brut de référence],12)</f>
        <v>2720.81</v>
      </c>
      <c r="F15" s="13">
        <f>INDEX(TPersonnel[INDEM LÉGALE],12)</f>
        <v>0</v>
      </c>
      <c r="G15" s="13">
        <f>INDEX(TPersonnel[INDEM CONV.],12)</f>
        <v>0</v>
      </c>
      <c r="H15" s="10">
        <f t="shared" si="0"/>
        <v>0</v>
      </c>
      <c r="I15" s="23" t="str">
        <f>INDEX(TPersonnel[COMPARAISON],12)</f>
        <v/>
      </c>
    </row>
    <row r="16" spans="1:9" x14ac:dyDescent="0.45">
      <c r="A16" s="323">
        <f>INDEX(TPersonnel[ID],13)</f>
        <v>70</v>
      </c>
      <c r="B16" s="11" t="str">
        <f>INDEX(TPersonnel[Nom],13)</f>
        <v>BEN HASSINE</v>
      </c>
      <c r="C16" s="11" t="str">
        <f>INDEX(TPersonnel[Fonction],13)</f>
        <v>Conducteur PL</v>
      </c>
      <c r="D16" s="12">
        <f ca="1">INDEX(TPersonnel[Ancienneté (ans) à la date théorique de sortie],13)</f>
        <v>6.5352498288843259</v>
      </c>
      <c r="E16" s="13">
        <f>INDEX(TPersonnel[Salaire Brut de référence],13)</f>
        <v>2668.64</v>
      </c>
      <c r="F16" s="13">
        <f>INDEX(TPersonnel[INDEM LÉGALE],13)</f>
        <v>0</v>
      </c>
      <c r="G16" s="13">
        <f>INDEX(TPersonnel[INDEM CONV.],13)</f>
        <v>0</v>
      </c>
      <c r="H16" s="10">
        <f t="shared" si="0"/>
        <v>0</v>
      </c>
      <c r="I16" s="23" t="str">
        <f>INDEX(TPersonnel[COMPARAISON],13)</f>
        <v/>
      </c>
    </row>
    <row r="17" spans="1:9" x14ac:dyDescent="0.45">
      <c r="A17" s="323">
        <f>INDEX(TPersonnel[ID],14)</f>
        <v>77</v>
      </c>
      <c r="B17" s="11" t="str">
        <f>INDEX(TPersonnel[Nom],14)</f>
        <v>RODRIGUES</v>
      </c>
      <c r="C17" s="11" t="str">
        <f>INDEX(TPersonnel[Fonction],14)</f>
        <v>Chauffeur PL</v>
      </c>
      <c r="D17" s="12">
        <f ca="1">INDEX(TPersonnel[Ancienneté (ans) à la date théorique de sortie],14)</f>
        <v>20.563997262149211</v>
      </c>
      <c r="E17" s="13">
        <f>INDEX(TPersonnel[Salaire Brut de référence],14)</f>
        <v>2325.7800000000002</v>
      </c>
      <c r="F17" s="13">
        <f>INDEX(TPersonnel[INDEM LÉGALE],14)</f>
        <v>0</v>
      </c>
      <c r="G17" s="13">
        <f>INDEX(TPersonnel[INDEM CONV.],14)</f>
        <v>0</v>
      </c>
      <c r="H17" s="10">
        <f t="shared" si="0"/>
        <v>0</v>
      </c>
      <c r="I17" s="23" t="str">
        <f>INDEX(TPersonnel[COMPARAISON],14)</f>
        <v/>
      </c>
    </row>
    <row r="18" spans="1:9" x14ac:dyDescent="0.45">
      <c r="A18" s="323">
        <f>INDEX(TPersonnel[ID],15)</f>
        <v>80</v>
      </c>
      <c r="B18" s="11" t="str">
        <f>INDEX(TPersonnel[Nom],15)</f>
        <v>MORIM</v>
      </c>
      <c r="C18" s="11" t="str">
        <f>INDEX(TPersonnel[Fonction],15)</f>
        <v>Responsable Exploitation</v>
      </c>
      <c r="D18" s="12">
        <f ca="1">INDEX(TPersonnel[Ancienneté (ans) à la date théorique de sortie],15)</f>
        <v>4.5503080082135527</v>
      </c>
      <c r="E18" s="13">
        <f>INDEX(TPersonnel[Salaire Brut de référence],15)</f>
        <v>3200</v>
      </c>
      <c r="F18" s="13">
        <f>INDEX(TPersonnel[INDEM LÉGALE],15)</f>
        <v>0</v>
      </c>
      <c r="G18" s="13">
        <f>INDEX(TPersonnel[INDEM CONV.],15)</f>
        <v>0</v>
      </c>
      <c r="H18" s="10">
        <f t="shared" si="0"/>
        <v>0</v>
      </c>
      <c r="I18" s="23" t="str">
        <f>INDEX(TPersonnel[COMPARAISON],15)</f>
        <v/>
      </c>
    </row>
    <row r="19" spans="1:9" x14ac:dyDescent="0.45">
      <c r="A19" s="323">
        <f>INDEX(TPersonnel[ID],16)</f>
        <v>81</v>
      </c>
      <c r="B19" s="11" t="str">
        <f>INDEX(TPersonnel[Nom],16)</f>
        <v>TALBI</v>
      </c>
      <c r="C19" s="11" t="str">
        <f>INDEX(TPersonnel[Fonction],16)</f>
        <v>Conducteur PL</v>
      </c>
      <c r="D19" s="12">
        <f ca="1">INDEX(TPersonnel[Ancienneté (ans) à la date théorique de sortie],16)</f>
        <v>4.5366187542778915</v>
      </c>
      <c r="E19" s="13">
        <f>INDEX(TPersonnel[Salaire Brut de référence],16)</f>
        <v>2439.79</v>
      </c>
      <c r="F19" s="13">
        <f>INDEX(TPersonnel[INDEM LÉGALE],16)</f>
        <v>0</v>
      </c>
      <c r="G19" s="13">
        <f>INDEX(TPersonnel[INDEM CONV.],16)</f>
        <v>0</v>
      </c>
      <c r="H19" s="10">
        <f t="shared" si="0"/>
        <v>0</v>
      </c>
      <c r="I19" s="23" t="str">
        <f>INDEX(TPersonnel[COMPARAISON],16)</f>
        <v/>
      </c>
    </row>
    <row r="20" spans="1:9" x14ac:dyDescent="0.45">
      <c r="A20" s="323">
        <f>INDEX(TPersonnel[ID],17)</f>
        <v>83</v>
      </c>
      <c r="B20" s="11" t="str">
        <f>INDEX(TPersonnel[Nom],17)</f>
        <v>ABDOULKARIM</v>
      </c>
      <c r="C20" s="11" t="str">
        <f>INDEX(TPersonnel[Fonction],17)</f>
        <v>Conducteur PL</v>
      </c>
      <c r="D20" s="12">
        <f ca="1">INDEX(TPersonnel[Ancienneté (ans) à la date théorique de sortie],17)</f>
        <v>4.5201916495550991</v>
      </c>
      <c r="E20" s="13">
        <f>INDEX(TPersonnel[Salaire Brut de référence],17)</f>
        <v>3151.19</v>
      </c>
      <c r="F20" s="13">
        <f>INDEX(TPersonnel[INDEM LÉGALE],17)</f>
        <v>0</v>
      </c>
      <c r="G20" s="13">
        <f>INDEX(TPersonnel[INDEM CONV.],17)</f>
        <v>0</v>
      </c>
      <c r="H20" s="10">
        <f t="shared" si="0"/>
        <v>0</v>
      </c>
      <c r="I20" s="23" t="str">
        <f>INDEX(TPersonnel[COMPARAISON],17)</f>
        <v/>
      </c>
    </row>
    <row r="21" spans="1:9" x14ac:dyDescent="0.45">
      <c r="A21" s="323">
        <f>INDEX(TPersonnel[ID],18)</f>
        <v>2772</v>
      </c>
      <c r="B21" s="11" t="str">
        <f>INDEX(TPersonnel[Nom],18)</f>
        <v>LAGIER</v>
      </c>
      <c r="C21" s="11" t="str">
        <f>INDEX(TPersonnel[Fonction],18)</f>
        <v>Affréteur</v>
      </c>
      <c r="D21" s="12">
        <f ca="1">INDEX(TPersonnel[Ancienneté (ans) à la date théorique de sortie],18)</f>
        <v>4.5366187542778915</v>
      </c>
      <c r="E21" s="13">
        <f>INDEX(TPersonnel[Salaire Brut de référence],18)</f>
        <v>2550</v>
      </c>
      <c r="F21" s="13">
        <f>INDEX(TPersonnel[INDEM LÉGALE],18)</f>
        <v>0</v>
      </c>
      <c r="G21" s="13">
        <f>INDEX(TPersonnel[INDEM CONV.],18)</f>
        <v>0</v>
      </c>
      <c r="H21" s="10">
        <f t="shared" si="0"/>
        <v>0</v>
      </c>
      <c r="I21" s="23" t="str">
        <f>INDEX(TPersonnel[COMPARAISON],18)</f>
        <v/>
      </c>
    </row>
    <row r="22" spans="1:9" x14ac:dyDescent="0.45">
      <c r="A22" s="323">
        <f>INDEX(TPersonnel[ID],19)</f>
        <v>2773</v>
      </c>
      <c r="B22" s="11" t="str">
        <f>INDEX(TPersonnel[Nom],19)</f>
        <v>ALI</v>
      </c>
      <c r="C22" s="11" t="str">
        <f>INDEX(TPersonnel[Fonction],19)</f>
        <v>Conducteur PL</v>
      </c>
      <c r="D22" s="12">
        <f ca="1">INDEX(TPersonnel[Ancienneté (ans) à la date théorique de sortie],19)</f>
        <v>4.4462696783025324</v>
      </c>
      <c r="E22" s="13">
        <f>INDEX(TPersonnel[Salaire Brut de référence],19)</f>
        <v>2751.22</v>
      </c>
      <c r="F22" s="13">
        <f>INDEX(TPersonnel[INDEM LÉGALE],19)</f>
        <v>0</v>
      </c>
      <c r="G22" s="13">
        <f>INDEX(TPersonnel[INDEM CONV.],19)</f>
        <v>0</v>
      </c>
      <c r="H22" s="10">
        <f t="shared" si="0"/>
        <v>0</v>
      </c>
      <c r="I22" s="23" t="str">
        <f>INDEX(TPersonnel[COMPARAISON],19)</f>
        <v/>
      </c>
    </row>
    <row r="23" spans="1:9" x14ac:dyDescent="0.45">
      <c r="A23" s="323">
        <f>INDEX(TPersonnel[ID],20)</f>
        <v>2774</v>
      </c>
      <c r="B23" s="11" t="str">
        <f>INDEX(TPersonnel[Nom],20)</f>
        <v>BOUDALI</v>
      </c>
      <c r="C23" s="11" t="str">
        <f>INDEX(TPersonnel[Fonction],20)</f>
        <v>Conducteur PL</v>
      </c>
      <c r="D23" s="12">
        <f ca="1">INDEX(TPersonnel[Ancienneté (ans) à la date théorique de sortie],20)</f>
        <v>4.4271047227926079</v>
      </c>
      <c r="E23" s="13">
        <f>INDEX(TPersonnel[Salaire Brut de référence],20)</f>
        <v>2453.29</v>
      </c>
      <c r="F23" s="13">
        <f>INDEX(TPersonnel[INDEM LÉGALE],20)</f>
        <v>0</v>
      </c>
      <c r="G23" s="13">
        <f>INDEX(TPersonnel[INDEM CONV.],20)</f>
        <v>0</v>
      </c>
      <c r="H23" s="10">
        <f t="shared" si="0"/>
        <v>0</v>
      </c>
      <c r="I23" s="23" t="str">
        <f>INDEX(TPersonnel[COMPARAISON],20)</f>
        <v/>
      </c>
    </row>
    <row r="24" spans="1:9" x14ac:dyDescent="0.45">
      <c r="A24" s="323">
        <f>INDEX(TPersonnel[ID],21)</f>
        <v>2782</v>
      </c>
      <c r="B24" s="11" t="str">
        <f>INDEX(TPersonnel[Nom],21)</f>
        <v>DUMIOT</v>
      </c>
      <c r="C24" s="11" t="str">
        <f>INDEX(TPersonnel[Fonction],21)</f>
        <v>Conducteur PL</v>
      </c>
      <c r="D24" s="12">
        <f ca="1">INDEX(TPersonnel[Ancienneté (ans) à la date théorique de sortie],21)</f>
        <v>3.3675564681724848</v>
      </c>
      <c r="E24" s="13">
        <f>INDEX(TPersonnel[Salaire Brut de référence],21)</f>
        <v>2303.2600000000002</v>
      </c>
      <c r="F24" s="13">
        <f>INDEX(TPersonnel[INDEM LÉGALE],21)</f>
        <v>0</v>
      </c>
      <c r="G24" s="13">
        <f>INDEX(TPersonnel[INDEM CONV.],21)</f>
        <v>0</v>
      </c>
      <c r="H24" s="10">
        <f t="shared" si="0"/>
        <v>0</v>
      </c>
      <c r="I24" s="23" t="str">
        <f>INDEX(TPersonnel[COMPARAISON],21)</f>
        <v/>
      </c>
    </row>
    <row r="25" spans="1:9" x14ac:dyDescent="0.45">
      <c r="A25" s="323">
        <f>INDEX(TPersonnel[ID],22)</f>
        <v>2784</v>
      </c>
      <c r="B25" s="11" t="str">
        <f>INDEX(TPersonnel[Nom],22)</f>
        <v>EGLAINE</v>
      </c>
      <c r="C25" s="11" t="str">
        <f>INDEX(TPersonnel[Fonction],22)</f>
        <v>Chauffeur PL</v>
      </c>
      <c r="D25" s="12">
        <f ca="1">INDEX(TPersonnel[Ancienneté (ans) à la date théorique de sortie],22)</f>
        <v>2.9295003422313486</v>
      </c>
      <c r="E25" s="13">
        <f>INDEX(TPersonnel[Salaire Brut de référence],22)</f>
        <v>2288.84</v>
      </c>
      <c r="F25" s="13">
        <f>INDEX(TPersonnel[INDEM LÉGALE],22)</f>
        <v>0</v>
      </c>
      <c r="G25" s="13">
        <f>INDEX(TPersonnel[INDEM CONV.],22)</f>
        <v>0</v>
      </c>
      <c r="H25" s="10">
        <f t="shared" si="0"/>
        <v>0</v>
      </c>
      <c r="I25" s="23" t="str">
        <f>INDEX(TPersonnel[COMPARAISON],22)</f>
        <v/>
      </c>
    </row>
    <row r="26" spans="1:9" x14ac:dyDescent="0.45">
      <c r="A26" s="323">
        <f>INDEX(TPersonnel[ID],23)</f>
        <v>2789</v>
      </c>
      <c r="B26" s="11" t="str">
        <f>INDEX(TPersonnel[Nom],23)</f>
        <v>DJEBBAR</v>
      </c>
      <c r="C26" s="11" t="str">
        <f>INDEX(TPersonnel[Fonction],23)</f>
        <v>Chef de quai</v>
      </c>
      <c r="D26" s="12">
        <f ca="1">INDEX(TPersonnel[Ancienneté (ans) à la date théorique de sortie],23)</f>
        <v>2.4531143052703626</v>
      </c>
      <c r="E26" s="13">
        <f>INDEX(TPersonnel[Salaire Brut de référence],23)</f>
        <v>2836.9</v>
      </c>
      <c r="F26" s="13">
        <f>INDEX(TPersonnel[INDEM LÉGALE],23)</f>
        <v>0</v>
      </c>
      <c r="G26" s="13">
        <f>INDEX(TPersonnel[INDEM CONV.],23)</f>
        <v>0</v>
      </c>
      <c r="H26" s="10">
        <f t="shared" si="0"/>
        <v>0</v>
      </c>
      <c r="I26" s="23" t="str">
        <f>INDEX(TPersonnel[COMPARAISON],23)</f>
        <v/>
      </c>
    </row>
    <row r="27" spans="1:9" x14ac:dyDescent="0.45">
      <c r="A27" s="323">
        <f>INDEX(TPersonnel[ID],24)</f>
        <v>2791</v>
      </c>
      <c r="B27" s="11" t="str">
        <f>INDEX(TPersonnel[Nom],24)</f>
        <v>AZCUE</v>
      </c>
      <c r="C27" s="11" t="str">
        <f>INDEX(TPersonnel[Fonction],24)</f>
        <v>Conducteur PL</v>
      </c>
      <c r="D27" s="12">
        <f ca="1">INDEX(TPersonnel[Ancienneté (ans) à la date théorique de sortie],24)</f>
        <v>2.4339493497604381</v>
      </c>
      <c r="E27" s="13">
        <f>INDEX(TPersonnel[Salaire Brut de référence],24)</f>
        <v>2295.41</v>
      </c>
      <c r="F27" s="13">
        <f>INDEX(TPersonnel[INDEM LÉGALE],24)</f>
        <v>0</v>
      </c>
      <c r="G27" s="13">
        <f>INDEX(TPersonnel[INDEM CONV.],24)</f>
        <v>0</v>
      </c>
      <c r="H27" s="10">
        <f t="shared" si="0"/>
        <v>0</v>
      </c>
      <c r="I27" s="23" t="str">
        <f>INDEX(TPersonnel[COMPARAISON],24)</f>
        <v/>
      </c>
    </row>
    <row r="28" spans="1:9" x14ac:dyDescent="0.45">
      <c r="A28" s="323">
        <f>INDEX(TPersonnel[ID],25)</f>
        <v>2792</v>
      </c>
      <c r="B28" s="11" t="str">
        <f>INDEX(TPersonnel[Nom],25)</f>
        <v>FOSSE</v>
      </c>
      <c r="C28" s="11" t="str">
        <f>INDEX(TPersonnel[Fonction],25)</f>
        <v>Exploitante</v>
      </c>
      <c r="D28" s="12">
        <f ca="1">INDEX(TPersonnel[Ancienneté (ans) à la date théorique de sortie],25)</f>
        <v>2.3956194387405887</v>
      </c>
      <c r="E28" s="13">
        <f>INDEX(TPersonnel[Salaire Brut de référence],25)</f>
        <v>2800</v>
      </c>
      <c r="F28" s="13">
        <f>INDEX(TPersonnel[INDEM LÉGALE],25)</f>
        <v>0</v>
      </c>
      <c r="G28" s="13">
        <f>INDEX(TPersonnel[INDEM CONV.],25)</f>
        <v>0</v>
      </c>
      <c r="H28" s="10">
        <f t="shared" si="0"/>
        <v>0</v>
      </c>
      <c r="I28" s="23" t="str">
        <f>INDEX(TPersonnel[COMPARAISON],25)</f>
        <v/>
      </c>
    </row>
    <row r="29" spans="1:9" x14ac:dyDescent="0.45">
      <c r="A29" s="323">
        <f>INDEX(TPersonnel[ID],26)</f>
        <v>2793</v>
      </c>
      <c r="B29" s="11" t="str">
        <f>INDEX(TPersonnel[Nom],26)</f>
        <v>JACQUOT</v>
      </c>
      <c r="C29" s="11" t="str">
        <f>INDEX(TPersonnel[Fonction],26)</f>
        <v>Chef de quai</v>
      </c>
      <c r="D29" s="12">
        <f ca="1">INDEX(TPersonnel[Ancienneté (ans) à la date théorique de sortie],26)</f>
        <v>2.1464750171115674</v>
      </c>
      <c r="E29" s="13">
        <f>INDEX(TPersonnel[Salaire Brut de référence],26)</f>
        <v>2494.92</v>
      </c>
      <c r="F29" s="13">
        <f>INDEX(TPersonnel[INDEM LÉGALE],26)</f>
        <v>0</v>
      </c>
      <c r="G29" s="13">
        <f>INDEX(TPersonnel[INDEM CONV.],26)</f>
        <v>0</v>
      </c>
      <c r="H29" s="10">
        <f t="shared" si="0"/>
        <v>0</v>
      </c>
      <c r="I29" s="23" t="str">
        <f>INDEX(TPersonnel[COMPARAISON],26)</f>
        <v/>
      </c>
    </row>
    <row r="30" spans="1:9" x14ac:dyDescent="0.45">
      <c r="A30" s="323">
        <f>INDEX(TPersonnel[ID],27)</f>
        <v>2794</v>
      </c>
      <c r="B30" s="11" t="str">
        <f>INDEX(TPersonnel[Nom],27)</f>
        <v>PENNACCHI</v>
      </c>
      <c r="C30" s="11" t="str">
        <f>INDEX(TPersonnel[Fonction],27)</f>
        <v>Conducteur PL</v>
      </c>
      <c r="D30" s="12">
        <f ca="1">INDEX(TPersonnel[Ancienneté (ans) à la date théorique de sortie],27)</f>
        <v>2.0807665982203969</v>
      </c>
      <c r="E30" s="13">
        <f>INDEX(TPersonnel[Salaire Brut de référence],27)</f>
        <v>2577.89</v>
      </c>
      <c r="F30" s="13">
        <f>INDEX(TPersonnel[INDEM LÉGALE],27)</f>
        <v>0</v>
      </c>
      <c r="G30" s="13">
        <f>INDEX(TPersonnel[INDEM CONV.],27)</f>
        <v>0</v>
      </c>
      <c r="H30" s="10">
        <f t="shared" si="0"/>
        <v>0</v>
      </c>
      <c r="I30" s="23" t="str">
        <f>INDEX(TPersonnel[COMPARAISON],27)</f>
        <v/>
      </c>
    </row>
    <row r="31" spans="1:9" x14ac:dyDescent="0.45">
      <c r="A31" s="323">
        <f>INDEX(TPersonnel[ID],28)</f>
        <v>2797</v>
      </c>
      <c r="B31" s="11" t="str">
        <f>INDEX(TPersonnel[Nom],28)</f>
        <v>BUJNOWSKYJ</v>
      </c>
      <c r="C31" s="11" t="str">
        <f>INDEX(TPersonnel[Fonction],28)</f>
        <v>Assistante exploitation</v>
      </c>
      <c r="D31" s="12">
        <f ca="1">INDEX(TPersonnel[Ancienneté (ans) à la date théorique de sortie],28)</f>
        <v>1.7440109514031485</v>
      </c>
      <c r="E31" s="13">
        <f>INDEX(TPersonnel[Salaire Brut de référence],28)</f>
        <v>2500</v>
      </c>
      <c r="F31" s="13">
        <f>INDEX(TPersonnel[INDEM LÉGALE],28)</f>
        <v>0</v>
      </c>
      <c r="G31" s="13">
        <f>INDEX(TPersonnel[INDEM CONV.],28)</f>
        <v>0</v>
      </c>
      <c r="H31" s="10">
        <f t="shared" si="0"/>
        <v>0</v>
      </c>
      <c r="I31" s="23" t="str">
        <f>INDEX(TPersonnel[COMPARAISON],28)</f>
        <v/>
      </c>
    </row>
    <row r="32" spans="1:9" x14ac:dyDescent="0.45">
      <c r="A32" s="323">
        <f>INDEX(TPersonnel[ID],29)</f>
        <v>2798</v>
      </c>
      <c r="B32" s="11" t="str">
        <f>INDEX(TPersonnel[Nom],29)</f>
        <v>REGUIG</v>
      </c>
      <c r="C32" s="11" t="str">
        <f>INDEX(TPersonnel[Fonction],29)</f>
        <v>Exploitant affréteur</v>
      </c>
      <c r="D32" s="12">
        <f ca="1">INDEX(TPersonnel[Ancienneté (ans) à la date théorique de sortie],29)</f>
        <v>1.7056810403832992</v>
      </c>
      <c r="E32" s="13">
        <f>INDEX(TPersonnel[Salaire Brut de référence],29)</f>
        <v>3527</v>
      </c>
      <c r="F32" s="13">
        <f>INDEX(TPersonnel[INDEM LÉGALE],29)</f>
        <v>0</v>
      </c>
      <c r="G32" s="13">
        <f>INDEX(TPersonnel[INDEM CONV.],29)</f>
        <v>0</v>
      </c>
      <c r="H32" s="10">
        <f t="shared" si="0"/>
        <v>0</v>
      </c>
      <c r="I32" s="23" t="str">
        <f>INDEX(TPersonnel[COMPARAISON],29)</f>
        <v/>
      </c>
    </row>
    <row r="33" spans="1:9" x14ac:dyDescent="0.45">
      <c r="A33" s="323">
        <f>INDEX(TPersonnel[ID],30)</f>
        <v>2805</v>
      </c>
      <c r="B33" s="11" t="str">
        <f>INDEX(TPersonnel[Nom],30)</f>
        <v>BOUDRAA</v>
      </c>
      <c r="C33" s="11" t="str">
        <f>INDEX(TPersonnel[Fonction],30)</f>
        <v>Assistant exploitation</v>
      </c>
      <c r="D33" s="12">
        <f ca="1">INDEX(TPersonnel[Ancienneté (ans) à la date théorique de sortie],30)</f>
        <v>0.56673511293634493</v>
      </c>
      <c r="E33" s="13">
        <f>INDEX(TPersonnel[Salaire Brut de référence],30)</f>
        <v>1010.72</v>
      </c>
      <c r="F33" s="13">
        <f>INDEX(TPersonnel[INDEM LÉGALE],30)</f>
        <v>0</v>
      </c>
      <c r="G33" s="13">
        <f>INDEX(TPersonnel[INDEM CONV.],30)</f>
        <v>0</v>
      </c>
      <c r="H33" s="10">
        <f t="shared" si="0"/>
        <v>0</v>
      </c>
      <c r="I33" s="23" t="str">
        <f>INDEX(TPersonnel[COMPARAISON],30)</f>
        <v/>
      </c>
    </row>
    <row r="34" spans="1:9" x14ac:dyDescent="0.45">
      <c r="A34" s="323">
        <f>INDEX(TPersonnel[ID],31)</f>
        <v>2806</v>
      </c>
      <c r="B34" s="11" t="str">
        <f>INDEX(TPersonnel[Nom],31)</f>
        <v>ELIBAL</v>
      </c>
      <c r="C34" s="11" t="str">
        <f>INDEX(TPersonnel[Fonction],31)</f>
        <v>Assistante Exploitation</v>
      </c>
      <c r="D34" s="12">
        <f ca="1">INDEX(TPersonnel[Ancienneté (ans) à la date théorique de sortie],31)</f>
        <v>0.53661875427789185</v>
      </c>
      <c r="E34" s="13">
        <f>INDEX(TPersonnel[Salaire Brut de référence],31)</f>
        <v>1010.72</v>
      </c>
      <c r="F34" s="13">
        <f>INDEX(TPersonnel[INDEM LÉGALE],31)</f>
        <v>0</v>
      </c>
      <c r="G34" s="13">
        <f>INDEX(TPersonnel[INDEM CONV.],31)</f>
        <v>0</v>
      </c>
      <c r="H34" s="10">
        <f t="shared" si="0"/>
        <v>0</v>
      </c>
      <c r="I34" s="23" t="str">
        <f>INDEX(TPersonnel[COMPARAISON],31)</f>
        <v/>
      </c>
    </row>
    <row r="35" spans="1:9" x14ac:dyDescent="0.45">
      <c r="A35" s="323">
        <f>INDEX(TPersonnel[ID],32)</f>
        <v>2807</v>
      </c>
      <c r="B35" s="11" t="str">
        <f>INDEX(TPersonnel[Nom],32)</f>
        <v>NICAISE</v>
      </c>
      <c r="C35" s="11" t="str">
        <f>INDEX(TPersonnel[Fonction],32)</f>
        <v>Conducteur PL</v>
      </c>
      <c r="D35" s="12">
        <f ca="1">INDEX(TPersonnel[Ancienneté (ans) à la date théorique de sortie],32)</f>
        <v>4.3312799452429847</v>
      </c>
      <c r="E35" s="13">
        <f>INDEX(TPersonnel[Salaire Brut de référence],32)</f>
        <v>3565.23</v>
      </c>
      <c r="F35" s="13">
        <f>INDEX(TPersonnel[INDEM LÉGALE],32)</f>
        <v>0</v>
      </c>
      <c r="G35" s="13">
        <f>INDEX(TPersonnel[INDEM CONV.],32)</f>
        <v>0</v>
      </c>
      <c r="H35" s="10">
        <f t="shared" si="0"/>
        <v>0</v>
      </c>
      <c r="I35" s="23" t="str">
        <f>INDEX(TPersonnel[COMPARAISON],32)</f>
        <v/>
      </c>
    </row>
    <row r="36" spans="1:9" x14ac:dyDescent="0.45">
      <c r="A36" s="323">
        <f>INDEX(TPersonnel[ID],33)</f>
        <v>2808</v>
      </c>
      <c r="B36" s="11" t="str">
        <f>INDEX(TPersonnel[Nom],33)</f>
        <v>ROCHAS</v>
      </c>
      <c r="C36" s="11" t="str">
        <f>INDEX(TPersonnel[Fonction],33)</f>
        <v>Commerciale</v>
      </c>
      <c r="D36" s="12">
        <f ca="1">INDEX(TPersonnel[Ancienneté (ans) à la date théorique de sortie],33)</f>
        <v>0.53661875427789185</v>
      </c>
      <c r="E36" s="13">
        <f>INDEX(TPersonnel[Salaire Brut de référence],33)</f>
        <v>2852</v>
      </c>
      <c r="F36" s="13">
        <f>INDEX(TPersonnel[INDEM LÉGALE],33)</f>
        <v>0</v>
      </c>
      <c r="G36" s="13">
        <f>INDEX(TPersonnel[INDEM CONV.],33)</f>
        <v>0</v>
      </c>
      <c r="H36" s="10">
        <f t="shared" si="0"/>
        <v>0</v>
      </c>
      <c r="I36" s="23" t="str">
        <f>INDEX(TPersonnel[COMPARAISON],33)</f>
        <v/>
      </c>
    </row>
    <row r="37" spans="1:9" x14ac:dyDescent="0.45">
      <c r="A37" s="323">
        <f>INDEX(TPersonnel[ID],34)</f>
        <v>2809</v>
      </c>
      <c r="B37" s="11" t="str">
        <f>INDEX(TPersonnel[Nom],34)</f>
        <v>LELIEVRE-OUDIN</v>
      </c>
      <c r="C37" s="11" t="str">
        <f>INDEX(TPersonnel[Fonction],34)</f>
        <v>Affréteur</v>
      </c>
      <c r="D37" s="12">
        <f ca="1">INDEX(TPersonnel[Ancienneté (ans) à la date théorique de sortie],34)</f>
        <v>0.45448323066392882</v>
      </c>
      <c r="E37" s="13">
        <f>INDEX(TPersonnel[Salaire Brut de référence],34)</f>
        <v>3000</v>
      </c>
      <c r="F37" s="13">
        <f>INDEX(TPersonnel[INDEM LÉGALE],34)</f>
        <v>0</v>
      </c>
      <c r="G37" s="13">
        <f>INDEX(TPersonnel[INDEM CONV.],34)</f>
        <v>0</v>
      </c>
      <c r="H37" s="10">
        <f t="shared" si="0"/>
        <v>0</v>
      </c>
      <c r="I37" s="23" t="str">
        <f>INDEX(TPersonnel[COMPARAISON],34)</f>
        <v/>
      </c>
    </row>
    <row r="38" spans="1:9" x14ac:dyDescent="0.45">
      <c r="A38" s="323"/>
      <c r="B38" s="11"/>
      <c r="C38" s="11"/>
      <c r="D38" s="12"/>
      <c r="E38" s="13"/>
      <c r="F38" s="13"/>
      <c r="G38" s="13"/>
      <c r="H38" s="10"/>
      <c r="I38" s="23"/>
    </row>
    <row r="39" spans="1:9" x14ac:dyDescent="0.45">
      <c r="A39" s="323"/>
      <c r="B39" s="11"/>
      <c r="C39" s="11"/>
      <c r="D39" s="12"/>
      <c r="E39" s="13"/>
      <c r="F39" s="13"/>
      <c r="G39" s="13"/>
      <c r="H39" s="10"/>
      <c r="I39" s="23"/>
    </row>
    <row r="40" spans="1:9" x14ac:dyDescent="0.45">
      <c r="A40" s="325" t="s">
        <v>222</v>
      </c>
      <c r="B40" s="182"/>
      <c r="C40" s="182"/>
      <c r="D40" s="182"/>
      <c r="E40" s="182"/>
      <c r="F40" s="193">
        <f>SUM(TPersonnel[INDEM LÉGALE])</f>
        <v>0</v>
      </c>
      <c r="G40" s="193">
        <f>SUM(TPersonnel[INDEM CONV.])</f>
        <v>0</v>
      </c>
      <c r="H40" s="194">
        <f>G40-F40</f>
        <v>0</v>
      </c>
    </row>
  </sheetData>
  <autoFilter ref="A3:I37" xr:uid="{00000000-0001-0000-0500-000000000000}"/>
  <sortState xmlns:xlrd2="http://schemas.microsoft.com/office/spreadsheetml/2017/richdata2" ref="A4:I37">
    <sortCondition ref="A3:A37"/>
  </sortState>
  <mergeCells count="1">
    <mergeCell ref="A1:I1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73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B872-74CA-4DC2-A125-08E114EBF9B3}">
  <dimension ref="A1:N153"/>
  <sheetViews>
    <sheetView zoomScaleNormal="100" workbookViewId="0">
      <selection activeCell="B68" sqref="B68"/>
    </sheetView>
  </sheetViews>
  <sheetFormatPr baseColWidth="10" defaultColWidth="11.3984375" defaultRowHeight="14.25" x14ac:dyDescent="0.45"/>
  <cols>
    <col min="1" max="1" width="39.1328125" style="24" customWidth="1"/>
    <col min="2" max="4" width="23.1328125" style="24" customWidth="1"/>
    <col min="5" max="8" width="23.1328125" customWidth="1"/>
  </cols>
  <sheetData>
    <row r="1" spans="1:14" ht="21" x14ac:dyDescent="0.65">
      <c r="A1" s="365" t="s">
        <v>310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</row>
    <row r="3" spans="1:14" ht="17.25" thickBot="1" x14ac:dyDescent="0.55000000000000004">
      <c r="A3" s="375" t="s">
        <v>311</v>
      </c>
      <c r="B3" s="375"/>
      <c r="C3" s="375"/>
      <c r="D3" s="375"/>
      <c r="E3" s="375"/>
      <c r="F3" s="375"/>
      <c r="G3" s="375"/>
      <c r="H3" s="375"/>
    </row>
    <row r="4" spans="1:14" x14ac:dyDescent="0.45">
      <c r="A4" s="33" t="s">
        <v>5</v>
      </c>
      <c r="B4" s="28" t="s">
        <v>312</v>
      </c>
      <c r="C4" s="28" t="s">
        <v>141</v>
      </c>
      <c r="D4" s="28" t="s">
        <v>313</v>
      </c>
      <c r="E4" s="29" t="s">
        <v>314</v>
      </c>
      <c r="F4" s="29" t="s">
        <v>226</v>
      </c>
      <c r="G4" s="29" t="s">
        <v>315</v>
      </c>
      <c r="H4" s="36" t="s">
        <v>316</v>
      </c>
    </row>
    <row r="5" spans="1:14" x14ac:dyDescent="0.45">
      <c r="A5" s="34" t="str">
        <f>IFERROR(INDEX(_xlfn.ANCHORARRAY('⚙️ Parametres'!$J$3),1),"")</f>
        <v>PUSIGNAN</v>
      </c>
      <c r="B5" s="25">
        <f>COUNTIF(TPersonnel[Site],A5)</f>
        <v>13</v>
      </c>
      <c r="C5" s="25" cm="1">
        <f t="array" ref="C5">SUMPRODUCT((UPPER(TPersonnel[Fonction à supprimer])="OUI")*(TPersonnel[Site]=A5))</f>
        <v>0</v>
      </c>
      <c r="D5" s="25">
        <f>B5-C5</f>
        <v>13</v>
      </c>
      <c r="E5" s="26">
        <f>IF(B5=0,0,C5/B5)</f>
        <v>0</v>
      </c>
      <c r="F5" s="27" cm="1">
        <f t="array" ref="F5">SUMPRODUCT((UPPER(TPersonnel[Fonction à supprimer])="OUI")*(TPersonnel[Site]=A5)*TPersonnel[COÛT TOTAL])</f>
        <v>0</v>
      </c>
      <c r="G5" s="27" cm="1">
        <f t="array" ref="G5">IFERROR(SUMPRODUCT((UPPER(TPersonnel[Fonction à supprimer])="OUI")*(TPersonnel[Site]=A5)*TPersonnel[Salaire Brut Mensuel (Base brut CP)])/C5,0)</f>
        <v>0</v>
      </c>
      <c r="H5" s="37" cm="1">
        <f t="array" aca="1" ref="H5" ca="1">IFERROR(SUMPRODUCT((UPPER(TPersonnel[Fonction à supprimer])="OUI")*(TPersonnel[Site]=A5)*TPersonnel[Ancienneté (ans) réelle])/C5,0)</f>
        <v>0</v>
      </c>
    </row>
    <row r="6" spans="1:14" x14ac:dyDescent="0.45">
      <c r="A6" s="34" t="str">
        <f>IFERROR(INDEX(_xlfn.ANCHORARRAY('⚙️ Parametres'!$J$3),2),"")</f>
        <v>ROGNAC</v>
      </c>
      <c r="B6" s="25">
        <f>COUNTIF(TPersonnel[Site],A6)</f>
        <v>6</v>
      </c>
      <c r="C6" s="25" cm="1">
        <f t="array" ref="C6">SUMPRODUCT((UPPER(TPersonnel[Fonction à supprimer])="OUI")*(TPersonnel[Site]=A6))</f>
        <v>0</v>
      </c>
      <c r="D6" s="25">
        <f t="shared" ref="D6:D12" si="0">B6-C6</f>
        <v>6</v>
      </c>
      <c r="E6" s="26">
        <f t="shared" ref="E6:E12" si="1">IF(B6=0,0,C6/B6)</f>
        <v>0</v>
      </c>
      <c r="F6" s="27" cm="1">
        <f t="array" ref="F6">SUMPRODUCT((UPPER(TPersonnel[Fonction à supprimer])="OUI")*(TPersonnel[Site]=A6)*TPersonnel[COÛT TOTAL])</f>
        <v>0</v>
      </c>
      <c r="G6" s="27" cm="1">
        <f t="array" ref="G6">IFERROR(SUMPRODUCT((UPPER(TPersonnel[Fonction à supprimer])="OUI")*(TPersonnel[Site]=A6)*TPersonnel[Salaire Brut Mensuel (Base brut CP)])/C6,0)</f>
        <v>0</v>
      </c>
      <c r="H6" s="37" cm="1">
        <f t="array" aca="1" ref="H6" ca="1">IFERROR(SUMPRODUCT((UPPER(TPersonnel[Fonction à supprimer])="OUI")*(TPersonnel[Site]=A6)*TPersonnel[Ancienneté (ans) réelle])/C6,0)</f>
        <v>0</v>
      </c>
    </row>
    <row r="7" spans="1:14" x14ac:dyDescent="0.45">
      <c r="A7" s="34" t="str">
        <f>IFERROR(INDEX(_xlfn.ANCHORARRAY('⚙️ Parametres'!$J$3),3),"")</f>
        <v>VALENCE</v>
      </c>
      <c r="B7" s="25">
        <f>COUNTIF(TPersonnel[Site],A7)</f>
        <v>15</v>
      </c>
      <c r="C7" s="25" cm="1">
        <f t="array" ref="C7">SUMPRODUCT((UPPER(TPersonnel[Fonction à supprimer])="OUI")*(TPersonnel[Site]=A7))</f>
        <v>0</v>
      </c>
      <c r="D7" s="25">
        <f t="shared" si="0"/>
        <v>15</v>
      </c>
      <c r="E7" s="26">
        <f t="shared" si="1"/>
        <v>0</v>
      </c>
      <c r="F7" s="27" cm="1">
        <f t="array" ref="F7">SUMPRODUCT((UPPER(TPersonnel[Fonction à supprimer])="OUI")*(TPersonnel[Site]=A7)*TPersonnel[COÛT TOTAL])</f>
        <v>0</v>
      </c>
      <c r="G7" s="27" cm="1">
        <f t="array" ref="G7">IFERROR(SUMPRODUCT((UPPER(TPersonnel[Fonction à supprimer])="OUI")*(TPersonnel[Site]=A7)*TPersonnel[Salaire Brut Mensuel (Base brut CP)])/C7,0)</f>
        <v>0</v>
      </c>
      <c r="H7" s="37" cm="1">
        <f t="array" aca="1" ref="H7" ca="1">IFERROR(SUMPRODUCT((UPPER(TPersonnel[Fonction à supprimer])="OUI")*(TPersonnel[Site]=A7)*TPersonnel[Ancienneté (ans) réelle])/C7,0)</f>
        <v>0</v>
      </c>
    </row>
    <row r="8" spans="1:14" x14ac:dyDescent="0.45">
      <c r="A8" s="306" t="str">
        <f>IFERROR(INDEX(_xlfn.ANCHORARRAY('⚙️ Parametres'!$J$3),4),"")</f>
        <v/>
      </c>
      <c r="B8" s="303">
        <f>COUNTIF(TPersonnel[Site],A8)</f>
        <v>0</v>
      </c>
      <c r="C8" s="303" cm="1">
        <f t="array" ref="C8">SUMPRODUCT((UPPER(TPersonnel[Fonction à supprimer])="OUI")*(TPersonnel[Site]=A8))</f>
        <v>0</v>
      </c>
      <c r="D8" s="303">
        <f t="shared" si="0"/>
        <v>0</v>
      </c>
      <c r="E8" s="302">
        <f t="shared" si="1"/>
        <v>0</v>
      </c>
      <c r="F8" s="304" cm="1">
        <f t="array" ref="F8">SUMPRODUCT((UPPER(TPersonnel[Fonction à supprimer])="OUI")*(TPersonnel[Site]=A8)*TPersonnel[COÛT TOTAL])</f>
        <v>0</v>
      </c>
      <c r="G8" s="304" cm="1">
        <f t="array" ref="G8">IFERROR(SUMPRODUCT((UPPER(TPersonnel[Fonction à supprimer])="OUI")*(TPersonnel[Site]=A8)*TPersonnel[Salaire Brut Mensuel (Base brut CP)])/C8,0)</f>
        <v>0</v>
      </c>
      <c r="H8" s="305" cm="1">
        <f t="array" aca="1" ref="H8" ca="1">IFERROR(SUMPRODUCT((UPPER(TPersonnel[Fonction à supprimer])="OUI")*(TPersonnel[Site]=A8)*TPersonnel[Ancienneté (ans) réelle])/C8,0)</f>
        <v>0</v>
      </c>
    </row>
    <row r="9" spans="1:14" x14ac:dyDescent="0.45">
      <c r="A9" s="306" t="str">
        <f>IFERROR(INDEX(_xlfn.ANCHORARRAY('⚙️ Parametres'!$J$3),5),"")</f>
        <v/>
      </c>
      <c r="B9" s="303">
        <f>COUNTIF(TPersonnel[Site],A9)</f>
        <v>0</v>
      </c>
      <c r="C9" s="303" cm="1">
        <f t="array" ref="C9">SUMPRODUCT((UPPER(TPersonnel[Fonction à supprimer])="OUI")*(TPersonnel[Site]=A9))</f>
        <v>0</v>
      </c>
      <c r="D9" s="303">
        <f t="shared" si="0"/>
        <v>0</v>
      </c>
      <c r="E9" s="302">
        <f t="shared" si="1"/>
        <v>0</v>
      </c>
      <c r="F9" s="304" cm="1">
        <f t="array" ref="F9">SUMPRODUCT((UPPER(TPersonnel[Fonction à supprimer])="OUI")*(TPersonnel[Site]=A9)*TPersonnel[COÛT TOTAL])</f>
        <v>0</v>
      </c>
      <c r="G9" s="304" cm="1">
        <f t="array" ref="G9">IFERROR(SUMPRODUCT((UPPER(TPersonnel[Fonction à supprimer])="OUI")*(TPersonnel[Site]=A9)*TPersonnel[Salaire Brut Mensuel (Base brut CP)])/C9,0)</f>
        <v>0</v>
      </c>
      <c r="H9" s="305" cm="1">
        <f t="array" aca="1" ref="H9" ca="1">IFERROR(SUMPRODUCT((UPPER(TPersonnel[Fonction à supprimer])="OUI")*(TPersonnel[Site]=A9)*TPersonnel[Ancienneté (ans) réelle])/C9,0)</f>
        <v>0</v>
      </c>
    </row>
    <row r="10" spans="1:14" x14ac:dyDescent="0.45">
      <c r="A10" s="306" t="str">
        <f>IFERROR(INDEX(_xlfn.ANCHORARRAY('⚙️ Parametres'!$J$3),6),"")</f>
        <v/>
      </c>
      <c r="B10" s="303">
        <f>COUNTIF(TPersonnel[Site],A10)</f>
        <v>0</v>
      </c>
      <c r="C10" s="303" cm="1">
        <f t="array" ref="C10">SUMPRODUCT((UPPER(TPersonnel[Fonction à supprimer])="OUI")*(TPersonnel[Site]=A10))</f>
        <v>0</v>
      </c>
      <c r="D10" s="303">
        <f t="shared" si="0"/>
        <v>0</v>
      </c>
      <c r="E10" s="302">
        <f t="shared" si="1"/>
        <v>0</v>
      </c>
      <c r="F10" s="304" cm="1">
        <f t="array" ref="F10">SUMPRODUCT((UPPER(TPersonnel[Fonction à supprimer])="OUI")*(TPersonnel[Site]=A10)*TPersonnel[COÛT TOTAL])</f>
        <v>0</v>
      </c>
      <c r="G10" s="304" cm="1">
        <f t="array" ref="G10">IFERROR(SUMPRODUCT((UPPER(TPersonnel[Fonction à supprimer])="OUI")*(TPersonnel[Site]=A10)*TPersonnel[Salaire Brut Mensuel (Base brut CP)])/C10,0)</f>
        <v>0</v>
      </c>
      <c r="H10" s="305" cm="1">
        <f t="array" aca="1" ref="H10" ca="1">IFERROR(SUMPRODUCT((UPPER(TPersonnel[Fonction à supprimer])="OUI")*(TPersonnel[Site]=A10)*TPersonnel[Ancienneté (ans) réelle])/C10,0)</f>
        <v>0</v>
      </c>
    </row>
    <row r="11" spans="1:14" x14ac:dyDescent="0.45">
      <c r="A11" s="306" t="str">
        <f>IFERROR(INDEX(_xlfn.ANCHORARRAY('⚙️ Parametres'!$J$3),7),"")</f>
        <v/>
      </c>
      <c r="B11" s="303">
        <f>COUNTIF(TPersonnel[Site],A11)</f>
        <v>0</v>
      </c>
      <c r="C11" s="303" cm="1">
        <f t="array" ref="C11">SUMPRODUCT((UPPER(TPersonnel[Fonction à supprimer])="OUI")*(TPersonnel[Site]=A11))</f>
        <v>0</v>
      </c>
      <c r="D11" s="303">
        <f t="shared" si="0"/>
        <v>0</v>
      </c>
      <c r="E11" s="302">
        <f t="shared" si="1"/>
        <v>0</v>
      </c>
      <c r="F11" s="304" cm="1">
        <f t="array" ref="F11">SUMPRODUCT((UPPER(TPersonnel[Fonction à supprimer])="OUI")*(TPersonnel[Site]=A11)*TPersonnel[COÛT TOTAL])</f>
        <v>0</v>
      </c>
      <c r="G11" s="304" cm="1">
        <f t="array" ref="G11">IFERROR(SUMPRODUCT((UPPER(TPersonnel[Fonction à supprimer])="OUI")*(TPersonnel[Site]=A11)*TPersonnel[Salaire Brut Mensuel (Base brut CP)])/C11,0)</f>
        <v>0</v>
      </c>
      <c r="H11" s="305" cm="1">
        <f t="array" aca="1" ref="H11" ca="1">IFERROR(SUMPRODUCT((UPPER(TPersonnel[Fonction à supprimer])="OUI")*(TPersonnel[Site]=A11)*TPersonnel[Ancienneté (ans) réelle])/C11,0)</f>
        <v>0</v>
      </c>
    </row>
    <row r="12" spans="1:14" x14ac:dyDescent="0.45">
      <c r="A12" s="306" t="str">
        <f>IFERROR(INDEX(_xlfn.ANCHORARRAY('⚙️ Parametres'!$J$3),8),"")</f>
        <v/>
      </c>
      <c r="B12" s="303">
        <f>COUNTIF(TPersonnel[Site],A12)</f>
        <v>0</v>
      </c>
      <c r="C12" s="303" cm="1">
        <f t="array" ref="C12">SUMPRODUCT((UPPER(TPersonnel[Fonction à supprimer])="OUI")*(TPersonnel[Site]=A12))</f>
        <v>0</v>
      </c>
      <c r="D12" s="303">
        <f t="shared" si="0"/>
        <v>0</v>
      </c>
      <c r="E12" s="302">
        <f t="shared" si="1"/>
        <v>0</v>
      </c>
      <c r="F12" s="304" cm="1">
        <f t="array" ref="F12">SUMPRODUCT((UPPER(TPersonnel[Fonction à supprimer])="OUI")*(TPersonnel[Site]=A12)*TPersonnel[COÛT TOTAL])</f>
        <v>0</v>
      </c>
      <c r="G12" s="304" cm="1">
        <f t="array" ref="G12">IFERROR(SUMPRODUCT((UPPER(TPersonnel[Fonction à supprimer])="OUI")*(TPersonnel[Site]=A12)*TPersonnel[Salaire Brut Mensuel (Base brut CP)])/C12,0)</f>
        <v>0</v>
      </c>
      <c r="H12" s="305" cm="1">
        <f t="array" aca="1" ref="H12" ca="1">IFERROR(SUMPRODUCT((UPPER(TPersonnel[Fonction à supprimer])="OUI")*(TPersonnel[Site]=A12)*TPersonnel[Ancienneté (ans) réelle])/C12,0)</f>
        <v>0</v>
      </c>
    </row>
    <row r="13" spans="1:14" ht="14.65" collapsed="1" thickBot="1" x14ac:dyDescent="0.5">
      <c r="A13" s="35" t="s">
        <v>222</v>
      </c>
      <c r="B13" s="30">
        <f>SUM(B5:B12)</f>
        <v>34</v>
      </c>
      <c r="C13" s="30">
        <f>SUM(C5:C12)</f>
        <v>0</v>
      </c>
      <c r="D13" s="30">
        <f>SUM(D5:D12)</f>
        <v>34</v>
      </c>
      <c r="E13" s="31">
        <f>IF(B13=0,0,C13/B13)</f>
        <v>0</v>
      </c>
      <c r="F13" s="32">
        <f>SUM(F5:F12)</f>
        <v>0</v>
      </c>
      <c r="G13" s="32" cm="1">
        <f t="array" ref="G13">IFERROR(SUMPRODUCT((F5:F12)*(C5:C12&gt;0))/SUMPRODUCT((C5:C12&gt;0)*1),0)</f>
        <v>0</v>
      </c>
      <c r="H13" s="38" cm="1">
        <f t="array" aca="1" ref="H13" ca="1">IFERROR(SUMPRODUCT((H5:H12)*(C5:C12&gt;0))/SUMPRODUCT((C5:C12&gt;0)*1),0)</f>
        <v>0</v>
      </c>
    </row>
    <row r="15" spans="1:14" ht="17.25" thickBot="1" x14ac:dyDescent="0.55000000000000004">
      <c r="A15" s="376" t="s">
        <v>317</v>
      </c>
      <c r="B15" s="376"/>
      <c r="C15" s="376"/>
      <c r="D15" s="376"/>
      <c r="E15" s="376"/>
      <c r="F15" s="376"/>
      <c r="G15" s="376"/>
      <c r="H15" s="376"/>
    </row>
    <row r="16" spans="1:14" x14ac:dyDescent="0.45">
      <c r="A16" s="33" t="s">
        <v>8</v>
      </c>
      <c r="B16" s="28" t="s">
        <v>312</v>
      </c>
      <c r="C16" s="28" t="s">
        <v>141</v>
      </c>
      <c r="D16" s="28" t="s">
        <v>313</v>
      </c>
      <c r="E16" s="29" t="s">
        <v>314</v>
      </c>
      <c r="F16" s="29" t="s">
        <v>226</v>
      </c>
      <c r="G16" s="29" t="s">
        <v>318</v>
      </c>
      <c r="H16" s="36" t="s">
        <v>319</v>
      </c>
    </row>
    <row r="17" spans="1:8" x14ac:dyDescent="0.45">
      <c r="A17" s="34" t="str">
        <f>IFERROR(INDEX(_xlfn.ANCHORARRAY('⚙️ Parametres'!$K$3),1),"")</f>
        <v>Agent de maîtrise</v>
      </c>
      <c r="B17" s="25">
        <f>IF(A17="","",COUNTIF(TPersonnel[Catégorie],A17))</f>
        <v>6</v>
      </c>
      <c r="C17" s="25" cm="1">
        <f t="array" ref="C17">IF(A17="","",SUMPRODUCT((UPPER(TPersonnel[Fonction à supprimer])="OUI")*(TPersonnel[Catégorie]=A17)))</f>
        <v>0</v>
      </c>
      <c r="D17" s="25">
        <f t="shared" ref="D17:D20" si="2">IF(A17="","",B17-C17)</f>
        <v>6</v>
      </c>
      <c r="E17" s="26">
        <f t="shared" ref="E17:E20" si="3">IF(OR(A17="",B17=0),0,C17/B17)</f>
        <v>0</v>
      </c>
      <c r="F17" s="27" cm="1">
        <f t="array" ref="F17">IF(A17="","",SUMPRODUCT((UPPER(TPersonnel[Fonction à supprimer])="OUI")*(TPersonnel[Catégorie]=A17)*TPersonnel[COÛT TOTAL]))</f>
        <v>0</v>
      </c>
      <c r="G17" s="27" cm="1">
        <f t="array" ref="G17">IF(A17="","",SUMPRODUCT((UPPER(TPersonnel[Fonction à supprimer])="OUI")*(TPersonnel[Catégorie]=A17)*TPersonnel[Salaire Annuel Total]))</f>
        <v>0</v>
      </c>
      <c r="H17" s="37" cm="1">
        <f t="array" ref="H17">IF(OR(A17="",C17=0),0,SUMPRODUCT((UPPER(TPersonnel[Fonction à supprimer])="OUI")*(TPersonnel[Catégorie]=A17)*TPersonnel[Ancienneté (ans) réelle])/C17)</f>
        <v>0</v>
      </c>
    </row>
    <row r="18" spans="1:8" x14ac:dyDescent="0.45">
      <c r="A18" s="34" t="str">
        <f>IFERROR(INDEX(_xlfn.ANCHORARRAY('⚙️ Parametres'!$K$3),2),"")</f>
        <v>Apprenti</v>
      </c>
      <c r="B18" s="25">
        <f>IF(A18="","",COUNTIF(TPersonnel[Catégorie],A18))</f>
        <v>2</v>
      </c>
      <c r="C18" s="25" cm="1">
        <f t="array" ref="C18">IF(A18="","",SUMPRODUCT((UPPER(TPersonnel[Fonction à supprimer])="OUI")*(TPersonnel[Catégorie]=A18)))</f>
        <v>0</v>
      </c>
      <c r="D18" s="25">
        <f t="shared" si="2"/>
        <v>2</v>
      </c>
      <c r="E18" s="26">
        <f t="shared" si="3"/>
        <v>0</v>
      </c>
      <c r="F18" s="27" cm="1">
        <f t="array" ref="F18">IF(A18="","",SUMPRODUCT((UPPER(TPersonnel[Fonction à supprimer])="OUI")*(TPersonnel[Catégorie]=A18)*TPersonnel[COÛT TOTAL]))</f>
        <v>0</v>
      </c>
      <c r="G18" s="27" cm="1">
        <f t="array" ref="G18">IF(A18="","",SUMPRODUCT((UPPER(TPersonnel[Fonction à supprimer])="OUI")*(TPersonnel[Catégorie]=A18)*TPersonnel[Salaire Annuel Total]))</f>
        <v>0</v>
      </c>
      <c r="H18" s="37" cm="1">
        <f t="array" ref="H18">IF(OR(A18="",C18=0),0,SUMPRODUCT((UPPER(TPersonnel[Fonction à supprimer])="OUI")*(TPersonnel[Catégorie]=A18)*TPersonnel[Ancienneté (ans) réelle])/C18)</f>
        <v>0</v>
      </c>
    </row>
    <row r="19" spans="1:8" x14ac:dyDescent="0.45">
      <c r="A19" s="34" t="str">
        <f>IFERROR(INDEX(_xlfn.ANCHORARRAY('⚙️ Parametres'!$K$3),3),"")</f>
        <v>Employé</v>
      </c>
      <c r="B19" s="25">
        <f>IF(A19="","",COUNTIF(TPersonnel[Catégorie],A19))</f>
        <v>2</v>
      </c>
      <c r="C19" s="25" cm="1">
        <f t="array" ref="C19">IF(A19="","",SUMPRODUCT((UPPER(TPersonnel[Fonction à supprimer])="OUI")*(TPersonnel[Catégorie]=A19)))</f>
        <v>0</v>
      </c>
      <c r="D19" s="25">
        <f t="shared" si="2"/>
        <v>2</v>
      </c>
      <c r="E19" s="26">
        <f t="shared" si="3"/>
        <v>0</v>
      </c>
      <c r="F19" s="27" cm="1">
        <f t="array" ref="F19">IF(A19="","",SUMPRODUCT((UPPER(TPersonnel[Fonction à supprimer])="OUI")*(TPersonnel[Catégorie]=A19)*TPersonnel[COÛT TOTAL]))</f>
        <v>0</v>
      </c>
      <c r="G19" s="27" cm="1">
        <f t="array" ref="G19">IF(A19="","",SUMPRODUCT((UPPER(TPersonnel[Fonction à supprimer])="OUI")*(TPersonnel[Catégorie]=A19)*TPersonnel[Salaire Annuel Total]))</f>
        <v>0</v>
      </c>
      <c r="H19" s="37" cm="1">
        <f t="array" ref="H19">IF(OR(A19="",C19=0),0,SUMPRODUCT((UPPER(TPersonnel[Fonction à supprimer])="OUI")*(TPersonnel[Catégorie]=A19)*TPersonnel[Ancienneté (ans) réelle])/C19)</f>
        <v>0</v>
      </c>
    </row>
    <row r="20" spans="1:8" x14ac:dyDescent="0.45">
      <c r="A20" s="34" t="str">
        <f>IFERROR(INDEX(_xlfn.ANCHORARRAY('⚙️ Parametres'!$K$3),4),"")</f>
        <v>Ouvrier</v>
      </c>
      <c r="B20" s="25">
        <f>IF(A20="","",COUNTIF(TPersonnel[Catégorie],A20))</f>
        <v>24</v>
      </c>
      <c r="C20" s="25" cm="1">
        <f t="array" ref="C20">IF(A20="","",SUMPRODUCT((UPPER(TPersonnel[Fonction à supprimer])="OUI")*(TPersonnel[Catégorie]=A20)))</f>
        <v>0</v>
      </c>
      <c r="D20" s="25">
        <f t="shared" si="2"/>
        <v>24</v>
      </c>
      <c r="E20" s="26">
        <f t="shared" si="3"/>
        <v>0</v>
      </c>
      <c r="F20" s="27" cm="1">
        <f t="array" ref="F20">IF(A20="","",SUMPRODUCT((UPPER(TPersonnel[Fonction à supprimer])="OUI")*(TPersonnel[Catégorie]=A20)*TPersonnel[COÛT TOTAL]))</f>
        <v>0</v>
      </c>
      <c r="G20" s="27" cm="1">
        <f t="array" ref="G20">IF(A20="","",SUMPRODUCT((UPPER(TPersonnel[Fonction à supprimer])="OUI")*(TPersonnel[Catégorie]=A20)*TPersonnel[Salaire Annuel Total]))</f>
        <v>0</v>
      </c>
      <c r="H20" s="37" cm="1">
        <f t="array" ref="H20">IF(OR(A20="",C20=0),0,SUMPRODUCT((UPPER(TPersonnel[Fonction à supprimer])="OUI")*(TPersonnel[Catégorie]=A20)*TPersonnel[Ancienneté (ans) réelle])/C20)</f>
        <v>0</v>
      </c>
    </row>
    <row r="21" spans="1:8" ht="14.65" collapsed="1" thickBot="1" x14ac:dyDescent="0.5">
      <c r="A21" s="35" t="s">
        <v>222</v>
      </c>
      <c r="B21" s="30">
        <f>SUM(B17:B20)</f>
        <v>34</v>
      </c>
      <c r="C21" s="30">
        <f>SUM(C17:C20)</f>
        <v>0</v>
      </c>
      <c r="D21" s="30">
        <f>SUM(D17:D20)</f>
        <v>34</v>
      </c>
      <c r="E21" s="31">
        <f>IF(B21=0,0,C21/B21)</f>
        <v>0</v>
      </c>
      <c r="F21" s="32">
        <f>SUM(F17:F20)</f>
        <v>0</v>
      </c>
      <c r="G21" s="32">
        <f>SUM(G17:G20)</f>
        <v>0</v>
      </c>
      <c r="H21" s="38">
        <f>IFERROR(AVERAGE(H17:H20),0)</f>
        <v>0</v>
      </c>
    </row>
    <row r="23" spans="1:8" ht="17.25" thickBot="1" x14ac:dyDescent="0.55000000000000004">
      <c r="A23" s="376" t="s">
        <v>320</v>
      </c>
      <c r="B23" s="376"/>
      <c r="C23" s="376"/>
      <c r="D23" s="376"/>
      <c r="E23" s="376"/>
      <c r="F23" s="376"/>
      <c r="G23" s="376"/>
      <c r="H23" s="376"/>
    </row>
    <row r="24" spans="1:8" x14ac:dyDescent="0.45">
      <c r="A24" s="33" t="s">
        <v>6</v>
      </c>
      <c r="B24" s="28" t="s">
        <v>312</v>
      </c>
      <c r="C24" s="28" t="s">
        <v>141</v>
      </c>
      <c r="D24" s="28" t="s">
        <v>313</v>
      </c>
      <c r="E24" s="29" t="s">
        <v>314</v>
      </c>
      <c r="F24" s="29" t="s">
        <v>226</v>
      </c>
      <c r="G24" s="29" t="s">
        <v>321</v>
      </c>
      <c r="H24" s="36" t="s">
        <v>322</v>
      </c>
    </row>
    <row r="25" spans="1:8" x14ac:dyDescent="0.45">
      <c r="A25" s="34" t="str">
        <f>IFERROR(INDEX(_xlfn.ANCHORARRAY('⚙️ Parametres'!$L$3),1),"")</f>
        <v>Affréteur</v>
      </c>
      <c r="B25" s="25">
        <f>COUNTIF(TPersonnel[Fonction],A25)</f>
        <v>2</v>
      </c>
      <c r="C25" s="25" cm="1">
        <f t="array" ref="C25">SUMPRODUCT((UPPER(TPersonnel[Fonction à supprimer])="OUI")*(TPersonnel[Fonction]=A25))</f>
        <v>0</v>
      </c>
      <c r="D25" s="25">
        <f>B25-C25</f>
        <v>2</v>
      </c>
      <c r="E25" s="26">
        <f>IF(B25=0,0,C25/B25)</f>
        <v>0</v>
      </c>
      <c r="F25" s="27" cm="1">
        <f t="array" ref="F25">SUMPRODUCT((UPPER(TPersonnel[Fonction à supprimer])="OUI")*(TPersonnel[Fonction]=A25)*TPersonnel[COÛT TOTAL])</f>
        <v>0</v>
      </c>
      <c r="G25" s="27">
        <f>IFERROR(AVERAGEIF(TPersonnel[Fonction],A25,TPersonnel[Salaire Brut Mensuel (Base brut CP)]),0)</f>
        <v>2775</v>
      </c>
      <c r="H25" s="37">
        <f ca="1">IFERROR(AVERAGEIF(TPersonnel[Fonction],A25,TPersonnel[Ancienneté (ans) réelle]),0)</f>
        <v>2.4955509924709101</v>
      </c>
    </row>
    <row r="26" spans="1:8" x14ac:dyDescent="0.45">
      <c r="A26" s="34" t="str">
        <f>IFERROR(INDEX(_xlfn.ANCHORARRAY('⚙️ Parametres'!$L$3),2),"")</f>
        <v>Assistant exploitation</v>
      </c>
      <c r="B26" s="25">
        <f>COUNTIF(TPersonnel[Fonction],A26)</f>
        <v>1</v>
      </c>
      <c r="C26" s="25" cm="1">
        <f t="array" ref="C26">SUMPRODUCT((UPPER(TPersonnel[Fonction à supprimer])="OUI")*(TPersonnel[Fonction]=A26))</f>
        <v>0</v>
      </c>
      <c r="D26" s="25">
        <f t="shared" ref="D26:D34" si="4">B26-C26</f>
        <v>1</v>
      </c>
      <c r="E26" s="26">
        <f t="shared" ref="E26:E34" si="5">IF(B26=0,0,C26/B26)</f>
        <v>0</v>
      </c>
      <c r="F26" s="27" cm="1">
        <f t="array" ref="F26">SUMPRODUCT((UPPER(TPersonnel[Fonction à supprimer])="OUI")*(TPersonnel[Fonction]=A26)*TPersonnel[COÛT TOTAL])</f>
        <v>0</v>
      </c>
      <c r="G26" s="27">
        <f>IFERROR(AVERAGEIF(TPersonnel[Fonction],A26,TPersonnel[Salaire Brut Mensuel (Base brut CP)]),0)</f>
        <v>1010.72</v>
      </c>
      <c r="H26" s="37">
        <f ca="1">IFERROR(AVERAGEIF(TPersonnel[Fonction],A26,TPersonnel[Ancienneté (ans) réelle]),0)</f>
        <v>0.56673511293634493</v>
      </c>
    </row>
    <row r="27" spans="1:8" x14ac:dyDescent="0.45">
      <c r="A27" s="34" t="str">
        <f>IFERROR(INDEX(_xlfn.ANCHORARRAY('⚙️ Parametres'!$L$3),3),"")</f>
        <v>Assistante exploitation</v>
      </c>
      <c r="B27" s="25">
        <f>COUNTIF(TPersonnel[Fonction],A27)</f>
        <v>2</v>
      </c>
      <c r="C27" s="25" cm="1">
        <f t="array" ref="C27">SUMPRODUCT((UPPER(TPersonnel[Fonction à supprimer])="OUI")*(TPersonnel[Fonction]=A27))</f>
        <v>0</v>
      </c>
      <c r="D27" s="25">
        <f t="shared" si="4"/>
        <v>2</v>
      </c>
      <c r="E27" s="26">
        <f t="shared" si="5"/>
        <v>0</v>
      </c>
      <c r="F27" s="27" cm="1">
        <f t="array" ref="F27">SUMPRODUCT((UPPER(TPersonnel[Fonction à supprimer])="OUI")*(TPersonnel[Fonction]=A27)*TPersonnel[COÛT TOTAL])</f>
        <v>0</v>
      </c>
      <c r="G27" s="27">
        <f>IFERROR(AVERAGEIF(TPersonnel[Fonction],A27,TPersonnel[Salaire Brut Mensuel (Base brut CP)]),0)</f>
        <v>1755.3600000000001</v>
      </c>
      <c r="H27" s="37">
        <f ca="1">IFERROR(AVERAGEIF(TPersonnel[Fonction],A27,TPersonnel[Ancienneté (ans) réelle]),0)</f>
        <v>1.1403148528405203</v>
      </c>
    </row>
    <row r="28" spans="1:8" x14ac:dyDescent="0.45">
      <c r="A28" s="34" t="str">
        <f>IFERROR(INDEX(_xlfn.ANCHORARRAY('⚙️ Parametres'!$L$3),4),"")</f>
        <v>Chauffeur PL</v>
      </c>
      <c r="B28" s="25">
        <f>COUNTIF(TPersonnel[Fonction],A28)</f>
        <v>8</v>
      </c>
      <c r="C28" s="25" cm="1">
        <f t="array" ref="C28">SUMPRODUCT((UPPER(TPersonnel[Fonction à supprimer])="OUI")*(TPersonnel[Fonction]=A28))</f>
        <v>0</v>
      </c>
      <c r="D28" s="25">
        <f t="shared" si="4"/>
        <v>8</v>
      </c>
      <c r="E28" s="26">
        <f t="shared" si="5"/>
        <v>0</v>
      </c>
      <c r="F28" s="27" cm="1">
        <f t="array" ref="F28">SUMPRODUCT((UPPER(TPersonnel[Fonction à supprimer])="OUI")*(TPersonnel[Fonction]=A28)*TPersonnel[COÛT TOTAL])</f>
        <v>0</v>
      </c>
      <c r="G28" s="27">
        <f>IFERROR(AVERAGEIF(TPersonnel[Fonction],A28,TPersonnel[Salaire Brut Mensuel (Base brut CP)]),0)</f>
        <v>2812.51125</v>
      </c>
      <c r="H28" s="37">
        <f ca="1">IFERROR(AVERAGEIF(TPersonnel[Fonction],A28,TPersonnel[Ancienneté (ans) réelle]),0)</f>
        <v>21.998631074606433</v>
      </c>
    </row>
    <row r="29" spans="1:8" x14ac:dyDescent="0.45">
      <c r="A29" s="34" t="str">
        <f>IFERROR(INDEX(_xlfn.ANCHORARRAY('⚙️ Parametres'!$L$3),5),"")</f>
        <v>Chauffeur SPL</v>
      </c>
      <c r="B29" s="25">
        <f>COUNTIF(TPersonnel[Fonction],A29)</f>
        <v>3</v>
      </c>
      <c r="C29" s="25" cm="1">
        <f t="array" ref="C29">SUMPRODUCT((UPPER(TPersonnel[Fonction à supprimer])="OUI")*(TPersonnel[Fonction]=A29))</f>
        <v>0</v>
      </c>
      <c r="D29" s="25">
        <f t="shared" si="4"/>
        <v>3</v>
      </c>
      <c r="E29" s="26">
        <f t="shared" si="5"/>
        <v>0</v>
      </c>
      <c r="F29" s="27" cm="1">
        <f t="array" ref="F29">SUMPRODUCT((UPPER(TPersonnel[Fonction à supprimer])="OUI")*(TPersonnel[Fonction]=A29)*TPersonnel[COÛT TOTAL])</f>
        <v>0</v>
      </c>
      <c r="G29" s="27">
        <f>IFERROR(AVERAGEIF(TPersonnel[Fonction],A29,TPersonnel[Salaire Brut Mensuel (Base brut CP)]),0)</f>
        <v>2601.123333333333</v>
      </c>
      <c r="H29" s="37">
        <f ca="1">IFERROR(AVERAGEIF(TPersonnel[Fonction],A29,TPersonnel[Ancienneté (ans) réelle]),0)</f>
        <v>8.6433949349760439</v>
      </c>
    </row>
    <row r="30" spans="1:8" x14ac:dyDescent="0.45">
      <c r="A30" s="34" t="str">
        <f>IFERROR(INDEX(_xlfn.ANCHORARRAY('⚙️ Parametres'!$L$3),6),"")</f>
        <v>Chef de quai</v>
      </c>
      <c r="B30" s="25">
        <f>COUNTIF(TPersonnel[Fonction],A30)</f>
        <v>2</v>
      </c>
      <c r="C30" s="25" cm="1">
        <f t="array" ref="C30">SUMPRODUCT((UPPER(TPersonnel[Fonction à supprimer])="OUI")*(TPersonnel[Fonction]=A30))</f>
        <v>0</v>
      </c>
      <c r="D30" s="25">
        <f t="shared" si="4"/>
        <v>2</v>
      </c>
      <c r="E30" s="26">
        <f t="shared" si="5"/>
        <v>0</v>
      </c>
      <c r="F30" s="27" cm="1">
        <f t="array" ref="F30">SUMPRODUCT((UPPER(TPersonnel[Fonction à supprimer])="OUI")*(TPersonnel[Fonction]=A30)*TPersonnel[COÛT TOTAL])</f>
        <v>0</v>
      </c>
      <c r="G30" s="27">
        <f>IFERROR(AVERAGEIF(TPersonnel[Fonction],A30,TPersonnel[Salaire Brut Mensuel (Base brut CP)]),0)</f>
        <v>2665.91</v>
      </c>
      <c r="H30" s="37">
        <f ca="1">IFERROR(AVERAGEIF(TPersonnel[Fonction],A30,TPersonnel[Ancienneté (ans) réelle]),0)</f>
        <v>2.299794661190965</v>
      </c>
    </row>
    <row r="31" spans="1:8" x14ac:dyDescent="0.45">
      <c r="A31" s="34" t="str">
        <f>IFERROR(INDEX(_xlfn.ANCHORARRAY('⚙️ Parametres'!$L$3),7),"")</f>
        <v>Chef de Quai Temp</v>
      </c>
      <c r="B31" s="25">
        <f>COUNTIF(TPersonnel[Fonction],A31)</f>
        <v>1</v>
      </c>
      <c r="C31" s="25" cm="1">
        <f t="array" ref="C31">SUMPRODUCT((UPPER(TPersonnel[Fonction à supprimer])="OUI")*(TPersonnel[Fonction]=A31))</f>
        <v>0</v>
      </c>
      <c r="D31" s="25">
        <f t="shared" si="4"/>
        <v>1</v>
      </c>
      <c r="E31" s="26">
        <f t="shared" si="5"/>
        <v>0</v>
      </c>
      <c r="F31" s="27" cm="1">
        <f t="array" ref="F31">SUMPRODUCT((UPPER(TPersonnel[Fonction à supprimer])="OUI")*(TPersonnel[Fonction]=A31)*TPersonnel[COÛT TOTAL])</f>
        <v>0</v>
      </c>
      <c r="G31" s="27">
        <f>IFERROR(AVERAGEIF(TPersonnel[Fonction],A31,TPersonnel[Salaire Brut Mensuel (Base brut CP)]),0)</f>
        <v>2687.99</v>
      </c>
      <c r="H31" s="37">
        <f ca="1">IFERROR(AVERAGEIF(TPersonnel[Fonction],A31,TPersonnel[Ancienneté (ans) réelle]),0)</f>
        <v>28.90075290896646</v>
      </c>
    </row>
    <row r="32" spans="1:8" x14ac:dyDescent="0.45">
      <c r="A32" s="34" t="str">
        <f>IFERROR(INDEX(_xlfn.ANCHORARRAY('⚙️ Parametres'!$L$3),8),"")</f>
        <v>Commerciale</v>
      </c>
      <c r="B32" s="25">
        <f>COUNTIF(TPersonnel[Fonction],A32)</f>
        <v>1</v>
      </c>
      <c r="C32" s="25" cm="1">
        <f t="array" ref="C32">SUMPRODUCT((UPPER(TPersonnel[Fonction à supprimer])="OUI")*(TPersonnel[Fonction]=A32))</f>
        <v>0</v>
      </c>
      <c r="D32" s="25">
        <f t="shared" si="4"/>
        <v>1</v>
      </c>
      <c r="E32" s="26">
        <f t="shared" si="5"/>
        <v>0</v>
      </c>
      <c r="F32" s="27" cm="1">
        <f t="array" ref="F32">SUMPRODUCT((UPPER(TPersonnel[Fonction à supprimer])="OUI")*(TPersonnel[Fonction]=A32)*TPersonnel[COÛT TOTAL])</f>
        <v>0</v>
      </c>
      <c r="G32" s="27">
        <f>IFERROR(AVERAGEIF(TPersonnel[Fonction],A32,TPersonnel[Salaire Brut Mensuel (Base brut CP)]),0)</f>
        <v>2852</v>
      </c>
      <c r="H32" s="37">
        <f ca="1">IFERROR(AVERAGEIF(TPersonnel[Fonction],A32,TPersonnel[Ancienneté (ans) réelle]),0)</f>
        <v>0.53661875427789185</v>
      </c>
    </row>
    <row r="33" spans="1:8" x14ac:dyDescent="0.45">
      <c r="A33" s="34" t="str">
        <f>IFERROR(INDEX(_xlfn.ANCHORARRAY('⚙️ Parametres'!$L$3),9),"")</f>
        <v>Conducteur PL</v>
      </c>
      <c r="B33" s="25">
        <f>COUNTIF(TPersonnel[Fonction],A33)</f>
        <v>9</v>
      </c>
      <c r="C33" s="25" cm="1">
        <f t="array" ref="C33">SUMPRODUCT((UPPER(TPersonnel[Fonction à supprimer])="OUI")*(TPersonnel[Fonction]=A33))</f>
        <v>0</v>
      </c>
      <c r="D33" s="25">
        <f t="shared" si="4"/>
        <v>9</v>
      </c>
      <c r="E33" s="26">
        <f t="shared" si="5"/>
        <v>0</v>
      </c>
      <c r="F33" s="27" cm="1">
        <f t="array" ref="F33">SUMPRODUCT((UPPER(TPersonnel[Fonction à supprimer])="OUI")*(TPersonnel[Fonction]=A33)*TPersonnel[COÛT TOTAL])</f>
        <v>0</v>
      </c>
      <c r="G33" s="27">
        <f>IFERROR(AVERAGEIF(TPersonnel[Fonction],A33,TPersonnel[Salaire Brut Mensuel (Base brut CP)]),0)</f>
        <v>2689.5466666666671</v>
      </c>
      <c r="H33" s="37">
        <f ca="1">IFERROR(AVERAGEIF(TPersonnel[Fonction],A33,TPersonnel[Ancienneté (ans) réelle]),0)</f>
        <v>4.07544299946764</v>
      </c>
    </row>
    <row r="34" spans="1:8" x14ac:dyDescent="0.45">
      <c r="A34" s="34" t="str">
        <f>IFERROR(INDEX(_xlfn.ANCHORARRAY('⚙️ Parametres'!$L$3),10),"")</f>
        <v>Exploitant affréteur</v>
      </c>
      <c r="B34" s="25">
        <f>COUNTIF(TPersonnel[Fonction],A34)</f>
        <v>1</v>
      </c>
      <c r="C34" s="25" cm="1">
        <f t="array" ref="C34">SUMPRODUCT((UPPER(TPersonnel[Fonction à supprimer])="OUI")*(TPersonnel[Fonction]=A34))</f>
        <v>0</v>
      </c>
      <c r="D34" s="25">
        <f t="shared" si="4"/>
        <v>1</v>
      </c>
      <c r="E34" s="26">
        <f t="shared" si="5"/>
        <v>0</v>
      </c>
      <c r="F34" s="27" cm="1">
        <f t="array" ref="F34">SUMPRODUCT((UPPER(TPersonnel[Fonction à supprimer])="OUI")*(TPersonnel[Fonction]=A34)*TPersonnel[COÛT TOTAL])</f>
        <v>0</v>
      </c>
      <c r="G34" s="27">
        <f>IFERROR(AVERAGEIF(TPersonnel[Fonction],A34,TPersonnel[Salaire Brut Mensuel (Base brut CP)]),0)</f>
        <v>3527</v>
      </c>
      <c r="H34" s="37">
        <f ca="1">IFERROR(AVERAGEIF(TPersonnel[Fonction],A34,TPersonnel[Ancienneté (ans) réelle]),0)</f>
        <v>1.7056810403832992</v>
      </c>
    </row>
    <row r="35" spans="1:8" ht="14.65" collapsed="1" thickBot="1" x14ac:dyDescent="0.5">
      <c r="A35" s="35" t="s">
        <v>222</v>
      </c>
      <c r="B35" s="30">
        <f>SUM(B25:B34)</f>
        <v>30</v>
      </c>
      <c r="C35" s="30">
        <f>SUM(C25:C34)</f>
        <v>0</v>
      </c>
      <c r="D35" s="30">
        <f>SUM(D25:D34)</f>
        <v>30</v>
      </c>
      <c r="E35" s="31">
        <f>IF(B35=0,0,C35/B35)</f>
        <v>0</v>
      </c>
      <c r="F35" s="32">
        <f>SUM(F25:F34)</f>
        <v>0</v>
      </c>
      <c r="G35" s="32">
        <f>IFERROR(AVERAGE(G25:G34),0)</f>
        <v>2537.7161249999999</v>
      </c>
      <c r="H35" s="38">
        <f ca="1">IFERROR(AVERAGE(H25:H34),0)</f>
        <v>7.236291733211651</v>
      </c>
    </row>
    <row r="37" spans="1:8" ht="17.25" thickBot="1" x14ac:dyDescent="0.55000000000000004">
      <c r="A37" s="376" t="s">
        <v>323</v>
      </c>
      <c r="B37" s="376"/>
      <c r="C37" s="376"/>
      <c r="D37" s="376"/>
      <c r="E37" s="376"/>
      <c r="F37" s="376"/>
      <c r="G37" s="376"/>
      <c r="H37" s="376"/>
    </row>
    <row r="38" spans="1:8" x14ac:dyDescent="0.45">
      <c r="A38" s="33" t="s">
        <v>227</v>
      </c>
      <c r="B38" s="28" t="s">
        <v>140</v>
      </c>
      <c r="C38" s="28" t="s">
        <v>144</v>
      </c>
      <c r="D38" s="28" t="s">
        <v>145</v>
      </c>
      <c r="E38" s="29" t="s">
        <v>324</v>
      </c>
      <c r="F38" s="36" t="s">
        <v>325</v>
      </c>
    </row>
    <row r="39" spans="1:8" x14ac:dyDescent="0.45">
      <c r="A39" s="34" t="s">
        <v>228</v>
      </c>
      <c r="B39" s="25">
        <f ca="1">COUNTIFS(TPersonnel[Age],"&lt;30")</f>
        <v>6</v>
      </c>
      <c r="C39" s="25" cm="1">
        <f t="array" aca="1" ref="C39" ca="1">SUMPRODUCT((TPersonnel[Age]&lt;30)*(UPPER(TPersonnel[Fonction à supprimer])="OUI"))</f>
        <v>0</v>
      </c>
      <c r="D39" s="25">
        <f ca="1">B39-C39</f>
        <v>6</v>
      </c>
      <c r="E39" s="26">
        <f ca="1">IF(B$44=0,0,B39/B$44)</f>
        <v>0.17647058823529413</v>
      </c>
      <c r="F39" s="39">
        <f ca="1">IF(D$44=0,0,D39/D$44)</f>
        <v>0.17647058823529413</v>
      </c>
    </row>
    <row r="40" spans="1:8" x14ac:dyDescent="0.45">
      <c r="A40" s="34" t="s">
        <v>169</v>
      </c>
      <c r="B40" s="25">
        <f ca="1">COUNTIFS(TPersonnel[Age],"&gt;=30",TPersonnel[Age],"&lt;40")</f>
        <v>1</v>
      </c>
      <c r="C40" s="25" cm="1">
        <f t="array" aca="1" ref="C40" ca="1">SUMPRODUCT((TPersonnel[Age]&gt;=30)*(TPersonnel[Age]&lt;40)*(UPPER(TPersonnel[Fonction à supprimer])="OUI"))</f>
        <v>0</v>
      </c>
      <c r="D40" s="25">
        <f ca="1">B40-C40</f>
        <v>1</v>
      </c>
      <c r="E40" s="26">
        <f ca="1">IF(B$44=0,0,B40/B$44)</f>
        <v>2.9411764705882353E-2</v>
      </c>
      <c r="F40" s="39">
        <f ca="1">IF(D$44=0,0,D40/D$44)</f>
        <v>2.9411764705882353E-2</v>
      </c>
    </row>
    <row r="41" spans="1:8" x14ac:dyDescent="0.45">
      <c r="A41" s="34" t="s">
        <v>170</v>
      </c>
      <c r="B41" s="25">
        <f ca="1">COUNTIFS(TPersonnel[Age],"&gt;=40",TPersonnel[Age],"&lt;50")</f>
        <v>12</v>
      </c>
      <c r="C41" s="25" cm="1">
        <f t="array" aca="1" ref="C41" ca="1">SUMPRODUCT((TPersonnel[Age]&gt;=40)*(TPersonnel[Age]&lt;50)*(UPPER(TPersonnel[Fonction à supprimer])="OUI"))</f>
        <v>0</v>
      </c>
      <c r="D41" s="25">
        <f ca="1">B41-C41</f>
        <v>12</v>
      </c>
      <c r="E41" s="26">
        <f ca="1">IF(B$44=0,0,B41/B$44)</f>
        <v>0.35294117647058826</v>
      </c>
      <c r="F41" s="39">
        <f ca="1">IF(D$44=0,0,D41/D$44)</f>
        <v>0.35294117647058826</v>
      </c>
    </row>
    <row r="42" spans="1:8" x14ac:dyDescent="0.45">
      <c r="A42" s="34" t="s">
        <v>326</v>
      </c>
      <c r="B42" s="25">
        <f ca="1">COUNTIFS(TPersonnel[Age],"&gt;=50",TPersonnel[Age],"&lt;55")</f>
        <v>8</v>
      </c>
      <c r="C42" s="25" cm="1">
        <f t="array" aca="1" ref="C42" ca="1">SUMPRODUCT((TPersonnel[Age]&gt;=50)*(TPersonnel[Age]&lt;55)*(UPPER(TPersonnel[Fonction à supprimer])="OUI"))</f>
        <v>0</v>
      </c>
      <c r="D42" s="25">
        <f ca="1">B42-C42</f>
        <v>8</v>
      </c>
      <c r="E42" s="26">
        <f ca="1">IF(B$44=0,0,B42/B$44)</f>
        <v>0.23529411764705882</v>
      </c>
      <c r="F42" s="39">
        <f ca="1">IF(D$44=0,0,D42/D$44)</f>
        <v>0.23529411764705882</v>
      </c>
    </row>
    <row r="43" spans="1:8" x14ac:dyDescent="0.45">
      <c r="A43" s="34" t="s">
        <v>232</v>
      </c>
      <c r="B43" s="25">
        <f ca="1">COUNTIFS(TPersonnel[Age],"&gt;=55")</f>
        <v>7</v>
      </c>
      <c r="C43" s="25" cm="1">
        <f t="array" aca="1" ref="C43" ca="1">SUMPRODUCT((TPersonnel[Age]&gt;=55)*(UPPER(TPersonnel[Fonction à supprimer])="OUI"))</f>
        <v>0</v>
      </c>
      <c r="D43" s="25">
        <f ca="1">B43-C43</f>
        <v>7</v>
      </c>
      <c r="E43" s="26">
        <f ca="1">IF(B$44=0,0,B43/B$44)</f>
        <v>0.20588235294117646</v>
      </c>
      <c r="F43" s="39">
        <f ca="1">IF(D$44=0,0,D43/D$44)</f>
        <v>0.20588235294117646</v>
      </c>
    </row>
    <row r="44" spans="1:8" ht="14.65" thickBot="1" x14ac:dyDescent="0.5">
      <c r="A44" s="35" t="s">
        <v>222</v>
      </c>
      <c r="B44" s="30">
        <f ca="1">SUM(B39:B43)</f>
        <v>34</v>
      </c>
      <c r="C44" s="30">
        <f ca="1">SUM(C39:C43)</f>
        <v>0</v>
      </c>
      <c r="D44" s="30">
        <f ca="1">SUM(D39:D43)</f>
        <v>34</v>
      </c>
      <c r="E44" s="31">
        <f ca="1">SUM(E39:E43)</f>
        <v>1</v>
      </c>
      <c r="F44" s="40">
        <f ca="1">SUM(F39:F43)</f>
        <v>1</v>
      </c>
    </row>
    <row r="46" spans="1:8" ht="17.25" thickBot="1" x14ac:dyDescent="0.55000000000000004">
      <c r="A46" s="376" t="s">
        <v>327</v>
      </c>
      <c r="B46" s="376"/>
      <c r="C46" s="376"/>
      <c r="D46" s="376"/>
      <c r="E46" s="376"/>
      <c r="F46" s="376"/>
      <c r="G46" s="376"/>
      <c r="H46" s="376"/>
    </row>
    <row r="47" spans="1:8" x14ac:dyDescent="0.45">
      <c r="A47" s="33" t="s">
        <v>328</v>
      </c>
      <c r="B47" s="28" t="s">
        <v>140</v>
      </c>
      <c r="C47" s="28" t="s">
        <v>144</v>
      </c>
      <c r="D47" s="28" t="s">
        <v>145</v>
      </c>
      <c r="E47" s="29" t="s">
        <v>324</v>
      </c>
      <c r="F47" s="36" t="s">
        <v>325</v>
      </c>
    </row>
    <row r="48" spans="1:8" x14ac:dyDescent="0.45">
      <c r="A48" s="34" t="s">
        <v>274</v>
      </c>
      <c r="B48" s="25">
        <f ca="1">COUNTIFS(TPersonnel[Ancienneté (ans) réelle],"&lt;5")</f>
        <v>20</v>
      </c>
      <c r="C48" s="25" cm="1">
        <f t="array" aca="1" ref="C48" ca="1">SUMPRODUCT((TPersonnel[Ancienneté (ans) réelle]&lt;5)*(UPPER(TPersonnel[Fonction à supprimer])="OUI"))</f>
        <v>0</v>
      </c>
      <c r="D48" s="25">
        <f ca="1">B48-C48</f>
        <v>20</v>
      </c>
      <c r="E48" s="26">
        <f ca="1">IF(B$53=0,0,B48/B$53)</f>
        <v>0.58823529411764708</v>
      </c>
      <c r="F48" s="39">
        <f ca="1">IF(D$53=0,0,D48/D$53)</f>
        <v>0.58823529411764708</v>
      </c>
    </row>
    <row r="49" spans="1:8" x14ac:dyDescent="0.45">
      <c r="A49" s="34" t="s">
        <v>275</v>
      </c>
      <c r="B49" s="25">
        <f ca="1">COUNTIFS(TPersonnel[Ancienneté (ans) réelle],"&gt;=5",TPersonnel[Ancienneté (ans) réelle],"&lt;10")</f>
        <v>3</v>
      </c>
      <c r="C49" s="25" cm="1">
        <f t="array" aca="1" ref="C49" ca="1">SUMPRODUCT((TPersonnel[Ancienneté (ans) réelle]&gt;=5)*(TPersonnel[Ancienneté (ans) réelle]&lt;10)*(UPPER(TPersonnel[Fonction à supprimer])="OUI"))</f>
        <v>0</v>
      </c>
      <c r="D49" s="25">
        <f ca="1">B49-C49</f>
        <v>3</v>
      </c>
      <c r="E49" s="26">
        <f ca="1">IF(B$53=0,0,B49/B$53)</f>
        <v>8.8235294117647065E-2</v>
      </c>
      <c r="F49" s="39">
        <f ca="1">IF(D$53=0,0,D49/D$53)</f>
        <v>8.8235294117647065E-2</v>
      </c>
    </row>
    <row r="50" spans="1:8" x14ac:dyDescent="0.45">
      <c r="A50" s="34" t="s">
        <v>329</v>
      </c>
      <c r="B50" s="25">
        <f ca="1">COUNTIFS(TPersonnel[Ancienneté (ans) réelle],"&gt;=10",TPersonnel[Ancienneté (ans) réelle],"&lt;15")</f>
        <v>2</v>
      </c>
      <c r="C50" s="25" cm="1">
        <f t="array" aca="1" ref="C50" ca="1">SUMPRODUCT((TPersonnel[Ancienneté (ans) réelle]&gt;=10)*(TPersonnel[Ancienneté (ans) réelle]&lt;15)*(UPPER(TPersonnel[Fonction à supprimer])="OUI"))</f>
        <v>0</v>
      </c>
      <c r="D50" s="25">
        <f ca="1">B50-C50</f>
        <v>2</v>
      </c>
      <c r="E50" s="26">
        <f ca="1">IF(B$53=0,0,B50/B$53)</f>
        <v>5.8823529411764705E-2</v>
      </c>
      <c r="F50" s="39">
        <f ca="1">IF(D$53=0,0,D50/D$53)</f>
        <v>5.8823529411764705E-2</v>
      </c>
    </row>
    <row r="51" spans="1:8" x14ac:dyDescent="0.45">
      <c r="A51" s="34" t="s">
        <v>330</v>
      </c>
      <c r="B51" s="25">
        <f ca="1">COUNTIFS(TPersonnel[Ancienneté (ans) réelle],"&gt;=15",TPersonnel[Ancienneté (ans) réelle],"&lt;20")</f>
        <v>3</v>
      </c>
      <c r="C51" s="25" cm="1">
        <f t="array" aca="1" ref="C51" ca="1">SUMPRODUCT((TPersonnel[Ancienneté (ans) réelle]&gt;=15)*(TPersonnel[Ancienneté (ans) réelle]&lt;20)*(UPPER(TPersonnel[Fonction à supprimer])="OUI"))</f>
        <v>0</v>
      </c>
      <c r="D51" s="25">
        <f ca="1">B51-C51</f>
        <v>3</v>
      </c>
      <c r="E51" s="26">
        <f ca="1">IF(B$53=0,0,B51/B$53)</f>
        <v>8.8235294117647065E-2</v>
      </c>
      <c r="F51" s="39">
        <f ca="1">IF(D$53=0,0,D51/D$53)</f>
        <v>8.8235294117647065E-2</v>
      </c>
    </row>
    <row r="52" spans="1:8" x14ac:dyDescent="0.45">
      <c r="A52" s="34" t="s">
        <v>331</v>
      </c>
      <c r="B52" s="25">
        <f ca="1">COUNTIFS(TPersonnel[Ancienneté (ans) réelle],"&gt;=20")</f>
        <v>6</v>
      </c>
      <c r="C52" s="25" cm="1">
        <f t="array" aca="1" ref="C52" ca="1">SUMPRODUCT((TPersonnel[Ancienneté (ans) réelle]&gt;=20)*(UPPER(TPersonnel[Fonction à supprimer])="OUI"))</f>
        <v>0</v>
      </c>
      <c r="D52" s="25">
        <f ca="1">B52-C52</f>
        <v>6</v>
      </c>
      <c r="E52" s="26">
        <f ca="1">IF(B$53=0,0,B52/B$53)</f>
        <v>0.17647058823529413</v>
      </c>
      <c r="F52" s="39">
        <f ca="1">IF(D$53=0,0,D52/D$53)</f>
        <v>0.17647058823529413</v>
      </c>
    </row>
    <row r="53" spans="1:8" ht="14.65" thickBot="1" x14ac:dyDescent="0.5">
      <c r="A53" s="35" t="s">
        <v>222</v>
      </c>
      <c r="B53" s="30">
        <f ca="1">SUM(B48:B52)</f>
        <v>34</v>
      </c>
      <c r="C53" s="30">
        <f ca="1">SUM(C48:C52)</f>
        <v>0</v>
      </c>
      <c r="D53" s="30">
        <f ca="1">SUM(D48:D52)</f>
        <v>34</v>
      </c>
      <c r="E53" s="31">
        <f ca="1">SUM(E48:E52)</f>
        <v>1</v>
      </c>
      <c r="F53" s="40">
        <f ca="1">SUM(F48:F52)</f>
        <v>1</v>
      </c>
    </row>
    <row r="55" spans="1:8" ht="16.899999999999999" x14ac:dyDescent="0.5">
      <c r="A55" s="373" t="s">
        <v>332</v>
      </c>
      <c r="B55" s="373"/>
      <c r="C55" s="373"/>
      <c r="D55" s="373"/>
      <c r="E55" s="373"/>
      <c r="F55" s="373"/>
      <c r="G55" s="373"/>
      <c r="H55" s="373"/>
    </row>
    <row r="56" spans="1:8" ht="14.65" thickBot="1" x14ac:dyDescent="0.5">
      <c r="A56" s="374" t="s">
        <v>333</v>
      </c>
      <c r="B56" s="374"/>
      <c r="C56" s="374"/>
      <c r="D56" s="374"/>
    </row>
    <row r="57" spans="1:8" x14ac:dyDescent="0.45">
      <c r="A57" s="49" t="s">
        <v>239</v>
      </c>
      <c r="B57" s="28" t="s">
        <v>240</v>
      </c>
      <c r="C57" s="46" t="s">
        <v>334</v>
      </c>
      <c r="D57" s="52" t="s">
        <v>335</v>
      </c>
    </row>
    <row r="58" spans="1:8" s="24" customFormat="1" x14ac:dyDescent="0.45">
      <c r="A58" s="50" t="s">
        <v>336</v>
      </c>
      <c r="B58" s="41">
        <f>ROWS(TPersonnel[])</f>
        <v>34</v>
      </c>
      <c r="C58" s="25" t="s">
        <v>337</v>
      </c>
      <c r="D58" s="53" t="s">
        <v>338</v>
      </c>
    </row>
    <row r="59" spans="1:8" s="24" customFormat="1" x14ac:dyDescent="0.45">
      <c r="A59" s="50" t="s">
        <v>339</v>
      </c>
      <c r="B59" s="42" cm="1">
        <f t="array" ref="B59">SUMPRODUCT((UPPER(TPersonnel[Fonction à supprimer])="OUI")*1)</f>
        <v>0</v>
      </c>
      <c r="C59" s="25" t="s">
        <v>340</v>
      </c>
      <c r="D59" s="53" t="s">
        <v>338</v>
      </c>
    </row>
    <row r="60" spans="1:8" s="24" customFormat="1" x14ac:dyDescent="0.45">
      <c r="A60" s="50" t="s">
        <v>341</v>
      </c>
      <c r="B60" s="43">
        <f>B59/B58</f>
        <v>0</v>
      </c>
      <c r="C60" s="25" t="s">
        <v>342</v>
      </c>
      <c r="D60" s="53" t="s">
        <v>343</v>
      </c>
    </row>
    <row r="61" spans="1:8" s="24" customFormat="1" ht="28.5" x14ac:dyDescent="0.45">
      <c r="A61" s="50" t="s">
        <v>344</v>
      </c>
      <c r="B61" s="41" cm="1">
        <f t="array" ref="B61">SUMPRODUCT((C5:C12&gt;0)*1)</f>
        <v>0</v>
      </c>
      <c r="C61" s="25" t="s">
        <v>345</v>
      </c>
      <c r="D61" s="53" t="s">
        <v>343</v>
      </c>
    </row>
    <row r="62" spans="1:8" s="24" customFormat="1" ht="28.5" x14ac:dyDescent="0.45">
      <c r="A62" s="50" t="s">
        <v>346</v>
      </c>
      <c r="B62" s="44" cm="1">
        <f t="array" aca="1" ref="B62" ca="1">IFERROR(SUMPRODUCT((UPPER(TPersonnel[Fonction à supprimer])="OUI")*(TPersonnel[Date de naissance]&lt;&gt;"")*(TODAY()-TPersonnel[Date de naissance])/365.25)/SUMPRODUCT((UPPER(TPersonnel[Fonction à supprimer])="OUI")*(TPersonnel[Date de naissance]&lt;&gt;"")),0)</f>
        <v>0</v>
      </c>
      <c r="C62" s="25" t="s">
        <v>347</v>
      </c>
      <c r="D62" s="53" t="s">
        <v>348</v>
      </c>
    </row>
    <row r="63" spans="1:8" s="24" customFormat="1" ht="28.5" x14ac:dyDescent="0.45">
      <c r="A63" s="50" t="s">
        <v>349</v>
      </c>
      <c r="B63" s="44" cm="1">
        <f t="array" aca="1" ref="B63" ca="1">IFERROR(SUMPRODUCT((UPPER(TPersonnel[Fonction à supprimer])="OUI")*TPersonnel[Ancienneté (ans) réelle])/B59,0)</f>
        <v>0</v>
      </c>
      <c r="C63" s="25" t="s">
        <v>347</v>
      </c>
      <c r="D63" s="53" t="s">
        <v>348</v>
      </c>
    </row>
    <row r="64" spans="1:8" s="24" customFormat="1" x14ac:dyDescent="0.45">
      <c r="A64" s="50" t="s">
        <v>350</v>
      </c>
      <c r="B64" s="45" cm="1">
        <f t="array" ref="B64">IFERROR(SUMPRODUCT((UPPER(TPersonnel[Fonction à supprimer])="OUI")*TPersonnel[Salaire Brut Mensuel (Base brut CP)])/B59,0)</f>
        <v>0</v>
      </c>
      <c r="C64" s="25" t="s">
        <v>351</v>
      </c>
      <c r="D64" s="53" t="s">
        <v>343</v>
      </c>
    </row>
    <row r="65" spans="1:4" s="24" customFormat="1" x14ac:dyDescent="0.45">
      <c r="A65" s="50" t="s">
        <v>352</v>
      </c>
      <c r="B65" s="45">
        <f>AVERAGE(TPersonnel[Salaire Brut Mensuel (Base brut CP)])</f>
        <v>2663.240294117647</v>
      </c>
      <c r="C65" s="25" t="s">
        <v>353</v>
      </c>
      <c r="D65" s="53"/>
    </row>
    <row r="66" spans="1:4" s="24" customFormat="1" x14ac:dyDescent="0.45">
      <c r="A66" s="50" t="s">
        <v>354</v>
      </c>
      <c r="B66" s="45" cm="1">
        <f t="array" ref="B66">SUMPRODUCT((UPPER(TPersonnel[Fonction à supprimer])="OUI")*TPersonnel[Salaire Annuel Total])</f>
        <v>0</v>
      </c>
      <c r="C66" s="25" t="s">
        <v>355</v>
      </c>
      <c r="D66" s="53" t="s">
        <v>343</v>
      </c>
    </row>
    <row r="67" spans="1:4" s="24" customFormat="1" ht="28.5" x14ac:dyDescent="0.45">
      <c r="A67" s="50" t="s">
        <v>267</v>
      </c>
      <c r="B67" s="45" cm="1">
        <f t="array" ref="B67">SUMPRODUCT((UPPER(TPersonnel[Fonction à supprimer])="OUI")*TPersonnel[Salaire Annuel Total]*(1+IF(TPersonnel[Catégorie]="Ouvrier",'📈 Dashboard'!$B$32,IF(TPersonnel[Catégorie]="Cadre",'📈 Dashboard'!$B$34,'📈 Dashboard'!$B$33))))</f>
        <v>0</v>
      </c>
      <c r="C67" s="25" t="s">
        <v>356</v>
      </c>
      <c r="D67" s="53"/>
    </row>
    <row r="68" spans="1:4" s="24" customFormat="1" ht="14.65" thickBot="1" x14ac:dyDescent="0.5">
      <c r="A68" s="51" t="s">
        <v>357</v>
      </c>
      <c r="B68" s="47" t="str">
        <f>IF(MAX(C17:C20)=0,"Aucune suppression",INDEX(A17:A20,MATCH(MAX(C17:C20),C17:C20,0)))</f>
        <v>Aucune suppression</v>
      </c>
      <c r="C68" s="48" t="s">
        <v>358</v>
      </c>
      <c r="D68" s="54" t="s">
        <v>359</v>
      </c>
    </row>
    <row r="70" spans="1:4" ht="14.65" thickBot="1" x14ac:dyDescent="0.5">
      <c r="A70" s="374" t="s">
        <v>360</v>
      </c>
      <c r="B70" s="374"/>
      <c r="C70" s="374"/>
      <c r="D70" s="374"/>
    </row>
    <row r="71" spans="1:4" x14ac:dyDescent="0.45">
      <c r="A71" s="49" t="s">
        <v>239</v>
      </c>
      <c r="B71" s="28" t="s">
        <v>240</v>
      </c>
      <c r="C71" s="46" t="s">
        <v>334</v>
      </c>
      <c r="D71" s="52" t="s">
        <v>335</v>
      </c>
    </row>
    <row r="72" spans="1:4" ht="28.5" x14ac:dyDescent="0.45">
      <c r="A72" s="50" t="s">
        <v>361</v>
      </c>
      <c r="B72" s="45">
        <f>SUM(TPersonnel[TOTAL INDEM])</f>
        <v>0</v>
      </c>
      <c r="C72" s="25" t="s">
        <v>362</v>
      </c>
      <c r="D72" s="53" t="s">
        <v>363</v>
      </c>
    </row>
    <row r="73" spans="1:4" x14ac:dyDescent="0.45">
      <c r="A73" s="50" t="s">
        <v>364</v>
      </c>
      <c r="B73" s="45">
        <f>SUM(TPersonnel[Indem Préavis Brut])</f>
        <v>0</v>
      </c>
      <c r="C73" s="25" t="s">
        <v>365</v>
      </c>
      <c r="D73" s="53" t="s">
        <v>366</v>
      </c>
    </row>
    <row r="74" spans="1:4" x14ac:dyDescent="0.45">
      <c r="A74" s="50" t="s">
        <v>367</v>
      </c>
      <c r="B74" s="45">
        <f>SUM(TPersonnel[Indem CP])</f>
        <v>0</v>
      </c>
      <c r="C74" s="25" t="s">
        <v>368</v>
      </c>
      <c r="D74" s="53" t="s">
        <v>369</v>
      </c>
    </row>
    <row r="75" spans="1:4" ht="28.9" x14ac:dyDescent="0.5">
      <c r="A75" s="50" t="s">
        <v>370</v>
      </c>
      <c r="B75" s="55">
        <f>SUM(TPersonnel[COÛT TOTAL])</f>
        <v>0</v>
      </c>
      <c r="C75" s="25" t="s">
        <v>371</v>
      </c>
      <c r="D75" s="53"/>
    </row>
    <row r="76" spans="1:4" x14ac:dyDescent="0.45">
      <c r="A76" s="50" t="s">
        <v>372</v>
      </c>
      <c r="B76" s="45">
        <f>IFERROR(B75/B59,0)</f>
        <v>0</v>
      </c>
      <c r="C76" s="25" t="s">
        <v>373</v>
      </c>
      <c r="D76" s="53"/>
    </row>
    <row r="77" spans="1:4" x14ac:dyDescent="0.45">
      <c r="A77" s="50" t="s">
        <v>374</v>
      </c>
      <c r="B77" s="45">
        <f>MAX(TPersonnel[COÛT TOTAL])</f>
        <v>0</v>
      </c>
      <c r="C77" s="25" t="s">
        <v>375</v>
      </c>
      <c r="D77" s="53"/>
    </row>
    <row r="78" spans="1:4" ht="28.5" x14ac:dyDescent="0.45">
      <c r="A78" s="50" t="s">
        <v>376</v>
      </c>
      <c r="B78" s="45">
        <f>IFERROR(_xlfn.MINIFS(TPersonnel[COÛT TOTAL],TPersonnel[COÛT TOTAL],"&gt;0"),0)</f>
        <v>0</v>
      </c>
      <c r="C78" s="25" t="s">
        <v>377</v>
      </c>
      <c r="D78" s="53"/>
    </row>
    <row r="79" spans="1:4" x14ac:dyDescent="0.45">
      <c r="A79" s="50" t="s">
        <v>378</v>
      </c>
      <c r="B79" s="41">
        <f>MAX(TPersonnel[Préavis Calc (mois)])</f>
        <v>0</v>
      </c>
      <c r="C79" s="25" t="s">
        <v>379</v>
      </c>
      <c r="D79" s="53" t="s">
        <v>366</v>
      </c>
    </row>
    <row r="80" spans="1:4" x14ac:dyDescent="0.45">
      <c r="A80" s="50" t="s">
        <v>271</v>
      </c>
      <c r="B80" s="56">
        <f>IFERROR(B75/B67,0)</f>
        <v>0</v>
      </c>
      <c r="C80" s="25" t="s">
        <v>380</v>
      </c>
      <c r="D80" s="53"/>
    </row>
    <row r="81" spans="1:4" ht="28.5" x14ac:dyDescent="0.45">
      <c r="A81" s="50" t="s">
        <v>381</v>
      </c>
      <c r="B81" s="41" t="s">
        <v>382</v>
      </c>
      <c r="C81" s="25" t="s">
        <v>383</v>
      </c>
      <c r="D81" s="58" t="s">
        <v>384</v>
      </c>
    </row>
    <row r="82" spans="1:4" ht="14.65" thickBot="1" x14ac:dyDescent="0.5">
      <c r="A82" s="51" t="s">
        <v>385</v>
      </c>
      <c r="B82" s="57">
        <f>'⚙️ Parametres'!B5</f>
        <v>0</v>
      </c>
      <c r="C82" s="48" t="s">
        <v>386</v>
      </c>
      <c r="D82" s="54" t="s">
        <v>387</v>
      </c>
    </row>
    <row r="84" spans="1:4" x14ac:dyDescent="0.45">
      <c r="A84"/>
      <c r="B84"/>
      <c r="C84"/>
      <c r="D84"/>
    </row>
    <row r="85" spans="1:4" x14ac:dyDescent="0.45">
      <c r="A85"/>
      <c r="B85"/>
      <c r="C85"/>
      <c r="D85"/>
    </row>
    <row r="86" spans="1:4" x14ac:dyDescent="0.45">
      <c r="A86"/>
      <c r="B86"/>
      <c r="C86"/>
      <c r="D86"/>
    </row>
    <row r="87" spans="1:4" x14ac:dyDescent="0.45">
      <c r="A87"/>
      <c r="B87"/>
      <c r="C87"/>
      <c r="D87"/>
    </row>
    <row r="88" spans="1:4" x14ac:dyDescent="0.45">
      <c r="A88"/>
      <c r="B88"/>
      <c r="C88"/>
      <c r="D88"/>
    </row>
    <row r="89" spans="1:4" x14ac:dyDescent="0.45">
      <c r="A89"/>
      <c r="B89"/>
      <c r="C89"/>
      <c r="D89"/>
    </row>
    <row r="90" spans="1:4" x14ac:dyDescent="0.45">
      <c r="A90"/>
      <c r="B90"/>
      <c r="C90"/>
      <c r="D90"/>
    </row>
    <row r="91" spans="1:4" x14ac:dyDescent="0.45">
      <c r="A91"/>
      <c r="B91"/>
      <c r="C91"/>
      <c r="D91"/>
    </row>
    <row r="92" spans="1:4" x14ac:dyDescent="0.45">
      <c r="A92"/>
      <c r="B92"/>
      <c r="C92"/>
      <c r="D92"/>
    </row>
    <row r="93" spans="1:4" x14ac:dyDescent="0.45">
      <c r="A93"/>
      <c r="B93"/>
      <c r="C93"/>
      <c r="D93"/>
    </row>
    <row r="94" spans="1:4" x14ac:dyDescent="0.45">
      <c r="A94"/>
      <c r="B94"/>
      <c r="C94"/>
      <c r="D94"/>
    </row>
    <row r="95" spans="1:4" x14ac:dyDescent="0.45">
      <c r="A95"/>
      <c r="B95"/>
      <c r="C95"/>
      <c r="D95"/>
    </row>
    <row r="96" spans="1:4" x14ac:dyDescent="0.45">
      <c r="A96"/>
      <c r="B96"/>
      <c r="C96"/>
      <c r="D96"/>
    </row>
    <row r="97" customFormat="1" x14ac:dyDescent="0.45"/>
    <row r="98" customFormat="1" x14ac:dyDescent="0.45"/>
    <row r="99" customFormat="1" x14ac:dyDescent="0.45"/>
    <row r="142" spans="4:4" x14ac:dyDescent="0.45">
      <c r="D142"/>
    </row>
    <row r="143" spans="4:4" x14ac:dyDescent="0.45">
      <c r="D143"/>
    </row>
    <row r="144" spans="4:4" x14ac:dyDescent="0.45">
      <c r="D144"/>
    </row>
    <row r="145" spans="4:4" x14ac:dyDescent="0.45">
      <c r="D145"/>
    </row>
    <row r="146" spans="4:4" x14ac:dyDescent="0.45">
      <c r="D146"/>
    </row>
    <row r="147" spans="4:4" x14ac:dyDescent="0.45">
      <c r="D147"/>
    </row>
    <row r="148" spans="4:4" x14ac:dyDescent="0.45">
      <c r="D148"/>
    </row>
    <row r="149" spans="4:4" x14ac:dyDescent="0.45">
      <c r="D149"/>
    </row>
    <row r="150" spans="4:4" x14ac:dyDescent="0.45">
      <c r="D150"/>
    </row>
    <row r="151" spans="4:4" x14ac:dyDescent="0.45">
      <c r="D151"/>
    </row>
    <row r="152" spans="4:4" x14ac:dyDescent="0.45">
      <c r="D152"/>
    </row>
    <row r="153" spans="4:4" x14ac:dyDescent="0.45">
      <c r="D153"/>
    </row>
  </sheetData>
  <mergeCells count="9">
    <mergeCell ref="A55:H55"/>
    <mergeCell ref="A56:D56"/>
    <mergeCell ref="A70:D70"/>
    <mergeCell ref="A1:N1"/>
    <mergeCell ref="A3:H3"/>
    <mergeCell ref="A15:H15"/>
    <mergeCell ref="A23:H23"/>
    <mergeCell ref="A37:H37"/>
    <mergeCell ref="A46:H46"/>
  </mergeCells>
  <conditionalFormatting sqref="B5:B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{B8AF9317-BA16-42BD-A49C-9BFABC3CEAE5}</x14:id>
        </ext>
      </extLst>
    </cfRule>
  </conditionalFormatting>
  <conditionalFormatting sqref="B17:B2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{6B0734D1-9BF1-46F7-842D-4EF8059FC16F}</x14:id>
        </ext>
      </extLst>
    </cfRule>
  </conditionalFormatting>
  <conditionalFormatting sqref="C5:C12">
    <cfRule type="cellIs" dxfId="2" priority="1" operator="greaterThan">
      <formula>0</formula>
    </cfRule>
  </conditionalFormatting>
  <conditionalFormatting sqref="C17:C20">
    <cfRule type="cellIs" dxfId="1" priority="2" operator="greaterThan">
      <formula>0</formula>
    </cfRule>
  </conditionalFormatting>
  <conditionalFormatting sqref="C25:C34">
    <cfRule type="cellIs" dxfId="0" priority="3" operator="greaterThan">
      <formula>0</formula>
    </cfRule>
  </conditionalFormatting>
  <conditionalFormatting sqref="E5:E12">
    <cfRule type="colorScale" priority="6">
      <colorScale>
        <cfvo type="min"/>
        <cfvo type="max"/>
        <color rgb="FFFFFFFF"/>
        <color rgb="FFFF4444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AF9317-BA16-42BD-A49C-9BFABC3CEAE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B5:B12</xm:sqref>
        </x14:conditionalFormatting>
        <x14:conditionalFormatting xmlns:xm="http://schemas.microsoft.com/office/excel/2006/main">
          <x14:cfRule type="dataBar" id="{6B0734D1-9BF1-46F7-842D-4EF8059FC16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B17:B20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workbookViewId="0">
      <selection activeCell="H26" sqref="H26"/>
    </sheetView>
  </sheetViews>
  <sheetFormatPr baseColWidth="10" defaultColWidth="9" defaultRowHeight="14.25" x14ac:dyDescent="0.45"/>
  <cols>
    <col min="1" max="1" width="30" customWidth="1"/>
    <col min="2" max="2" width="15" customWidth="1"/>
    <col min="3" max="3" width="10" customWidth="1"/>
    <col min="4" max="4" width="50" customWidth="1"/>
    <col min="8" max="8" width="14.1328125" bestFit="1" customWidth="1"/>
  </cols>
  <sheetData>
    <row r="1" spans="1:12" ht="18" x14ac:dyDescent="0.55000000000000004">
      <c r="A1" s="370" t="s">
        <v>388</v>
      </c>
      <c r="B1" s="354"/>
      <c r="C1" s="354"/>
      <c r="D1" s="354"/>
      <c r="J1" s="182" t="s">
        <v>389</v>
      </c>
    </row>
    <row r="2" spans="1:12" x14ac:dyDescent="0.45">
      <c r="J2" s="182" t="s">
        <v>390</v>
      </c>
      <c r="K2" s="182" t="s">
        <v>391</v>
      </c>
      <c r="L2" s="182" t="s">
        <v>392</v>
      </c>
    </row>
    <row r="3" spans="1:12" x14ac:dyDescent="0.45">
      <c r="J3" t="str" cm="1">
        <f t="array" ref="J3:J5">_xlfn._xlws.SORT(_xlfn.UNIQUE(TPersonnel[Site]))</f>
        <v>PUSIGNAN</v>
      </c>
      <c r="K3" t="str" cm="1">
        <f t="array" ref="K3:K6">_xlfn._xlws.SORT(_xlfn.UNIQUE(TPersonnel[Catégorie]))</f>
        <v>Agent de maîtrise</v>
      </c>
      <c r="L3" t="str" cm="1">
        <f t="array" ref="L3:L16">_xlfn._xlws.SORT(_xlfn.UNIQUE(TPersonnel[Fonction]))</f>
        <v>Affréteur</v>
      </c>
    </row>
    <row r="4" spans="1:12" x14ac:dyDescent="0.45">
      <c r="A4" s="1" t="s">
        <v>193</v>
      </c>
      <c r="B4" s="1" t="s">
        <v>240</v>
      </c>
      <c r="C4" s="1" t="s">
        <v>393</v>
      </c>
      <c r="D4" s="1" t="s">
        <v>394</v>
      </c>
      <c r="G4" s="1" t="s">
        <v>395</v>
      </c>
      <c r="H4" s="59" t="s">
        <v>396</v>
      </c>
      <c r="J4" t="str">
        <v>ROGNAC</v>
      </c>
      <c r="K4" t="str">
        <v>Apprenti</v>
      </c>
      <c r="L4" t="str">
        <v>Assistant exploitation</v>
      </c>
    </row>
    <row r="5" spans="1:12" x14ac:dyDescent="0.45">
      <c r="A5" t="s">
        <v>37</v>
      </c>
      <c r="B5" s="2">
        <v>0</v>
      </c>
      <c r="C5" t="s">
        <v>198</v>
      </c>
      <c r="D5" t="s">
        <v>397</v>
      </c>
      <c r="H5" s="60" t="s">
        <v>45</v>
      </c>
      <c r="J5" t="str">
        <v>VALENCE</v>
      </c>
      <c r="K5" t="str">
        <v>Employé</v>
      </c>
      <c r="L5" t="str">
        <v>Assistante exploitation</v>
      </c>
    </row>
    <row r="6" spans="1:12" x14ac:dyDescent="0.45">
      <c r="A6" t="s">
        <v>398</v>
      </c>
      <c r="B6" s="3">
        <v>0</v>
      </c>
      <c r="C6" t="s">
        <v>399</v>
      </c>
      <c r="D6" t="s">
        <v>400</v>
      </c>
      <c r="K6" t="str">
        <v>Ouvrier</v>
      </c>
      <c r="L6" t="str">
        <v>Chauffeur PL</v>
      </c>
    </row>
    <row r="7" spans="1:12" x14ac:dyDescent="0.45">
      <c r="A7" t="s">
        <v>401</v>
      </c>
      <c r="B7" s="4">
        <v>3864</v>
      </c>
      <c r="C7" t="s">
        <v>209</v>
      </c>
      <c r="D7" t="s">
        <v>402</v>
      </c>
      <c r="L7" t="str">
        <v>Chauffeur SPL</v>
      </c>
    </row>
    <row r="8" spans="1:12" x14ac:dyDescent="0.45">
      <c r="A8" t="s">
        <v>197</v>
      </c>
      <c r="B8" s="199">
        <v>0.45</v>
      </c>
      <c r="C8" t="s">
        <v>198</v>
      </c>
      <c r="D8" t="s">
        <v>403</v>
      </c>
      <c r="G8" s="1" t="s">
        <v>395</v>
      </c>
      <c r="H8" t="s">
        <v>50</v>
      </c>
      <c r="L8" t="str">
        <v>Chef de quai</v>
      </c>
    </row>
    <row r="9" spans="1:12" x14ac:dyDescent="0.45">
      <c r="A9" t="s">
        <v>202</v>
      </c>
      <c r="B9" s="200">
        <v>0.45</v>
      </c>
      <c r="C9" t="s">
        <v>198</v>
      </c>
      <c r="D9" t="s">
        <v>404</v>
      </c>
      <c r="H9" t="s">
        <v>159</v>
      </c>
      <c r="L9" t="str">
        <v>Chef de Quai Temp</v>
      </c>
    </row>
    <row r="10" spans="1:12" x14ac:dyDescent="0.45">
      <c r="A10" t="s">
        <v>204</v>
      </c>
      <c r="B10" s="200">
        <v>0.45</v>
      </c>
      <c r="C10" t="s">
        <v>198</v>
      </c>
      <c r="D10" t="s">
        <v>405</v>
      </c>
      <c r="H10" t="s">
        <v>406</v>
      </c>
      <c r="L10" t="str">
        <v>Commerciale</v>
      </c>
    </row>
    <row r="11" spans="1:12" x14ac:dyDescent="0.45">
      <c r="A11" t="s">
        <v>407</v>
      </c>
      <c r="B11" s="200">
        <v>0.22</v>
      </c>
      <c r="C11" t="s">
        <v>198</v>
      </c>
      <c r="D11" t="s">
        <v>408</v>
      </c>
      <c r="L11" t="str">
        <v>Conducteur PL</v>
      </c>
    </row>
    <row r="12" spans="1:12" x14ac:dyDescent="0.45">
      <c r="L12" t="str">
        <v>Exploitant affréteur</v>
      </c>
    </row>
    <row r="13" spans="1:12" x14ac:dyDescent="0.45">
      <c r="L13" t="str">
        <v>Exploitante</v>
      </c>
    </row>
    <row r="14" spans="1:12" x14ac:dyDescent="0.45">
      <c r="L14" t="str">
        <v>Manutentionnaire</v>
      </c>
    </row>
    <row r="15" spans="1:12" x14ac:dyDescent="0.45">
      <c r="L15" t="str">
        <v>Resp Exploitation</v>
      </c>
    </row>
    <row r="16" spans="1:12" x14ac:dyDescent="0.45">
      <c r="L16" t="str">
        <v>Responsable Exploitation</v>
      </c>
    </row>
    <row r="17" spans="1:5" ht="42.75" x14ac:dyDescent="0.45">
      <c r="A17" s="90" t="s">
        <v>8</v>
      </c>
      <c r="B17" s="90" t="s">
        <v>409</v>
      </c>
      <c r="C17" s="90" t="s">
        <v>410</v>
      </c>
      <c r="D17" s="90" t="s">
        <v>411</v>
      </c>
      <c r="E17" s="90" t="s">
        <v>283</v>
      </c>
    </row>
    <row r="18" spans="1:5" ht="28.5" x14ac:dyDescent="0.45">
      <c r="A18" s="377" t="s">
        <v>412</v>
      </c>
      <c r="B18" s="91" t="s">
        <v>413</v>
      </c>
      <c r="C18" s="91" t="s">
        <v>414</v>
      </c>
      <c r="D18" s="91" t="s">
        <v>415</v>
      </c>
      <c r="E18" s="91"/>
    </row>
    <row r="19" spans="1:5" ht="28.5" x14ac:dyDescent="0.45">
      <c r="A19" s="378"/>
      <c r="B19" s="91" t="s">
        <v>416</v>
      </c>
      <c r="C19" s="91" t="s">
        <v>417</v>
      </c>
      <c r="D19" s="91" t="s">
        <v>418</v>
      </c>
      <c r="E19" s="91"/>
    </row>
    <row r="20" spans="1:5" x14ac:dyDescent="0.45">
      <c r="A20" s="378"/>
      <c r="B20" s="91" t="s">
        <v>419</v>
      </c>
      <c r="C20" s="91" t="s">
        <v>420</v>
      </c>
      <c r="D20" s="91" t="s">
        <v>420</v>
      </c>
      <c r="E20" s="91" t="s">
        <v>421</v>
      </c>
    </row>
    <row r="21" spans="1:5" ht="28.5" x14ac:dyDescent="0.45">
      <c r="A21" s="378"/>
      <c r="B21" s="91" t="s">
        <v>422</v>
      </c>
      <c r="C21" s="91" t="s">
        <v>420</v>
      </c>
      <c r="D21" s="91" t="s">
        <v>420</v>
      </c>
      <c r="E21" s="91" t="s">
        <v>423</v>
      </c>
    </row>
    <row r="22" spans="1:5" x14ac:dyDescent="0.45">
      <c r="A22" s="379"/>
      <c r="B22" s="91" t="s">
        <v>424</v>
      </c>
      <c r="C22" s="91" t="s">
        <v>420</v>
      </c>
      <c r="D22" s="91" t="s">
        <v>420</v>
      </c>
      <c r="E22" s="91" t="s">
        <v>425</v>
      </c>
    </row>
    <row r="23" spans="1:5" ht="28.5" x14ac:dyDescent="0.45">
      <c r="A23" s="377" t="s">
        <v>426</v>
      </c>
      <c r="B23" s="91" t="s">
        <v>413</v>
      </c>
      <c r="C23" s="91" t="s">
        <v>414</v>
      </c>
      <c r="D23" s="91" t="s">
        <v>415</v>
      </c>
      <c r="E23" s="91"/>
    </row>
    <row r="24" spans="1:5" ht="28.5" x14ac:dyDescent="0.45">
      <c r="A24" s="378"/>
      <c r="B24" s="91" t="s">
        <v>416</v>
      </c>
      <c r="C24" s="91" t="s">
        <v>417</v>
      </c>
      <c r="D24" s="91" t="s">
        <v>418</v>
      </c>
      <c r="E24" s="91"/>
    </row>
    <row r="25" spans="1:5" ht="28.5" x14ac:dyDescent="0.45">
      <c r="A25" s="378"/>
      <c r="B25" s="91" t="s">
        <v>427</v>
      </c>
      <c r="C25" s="91" t="s">
        <v>420</v>
      </c>
      <c r="D25" s="91" t="s">
        <v>420</v>
      </c>
      <c r="E25" s="91" t="s">
        <v>423</v>
      </c>
    </row>
    <row r="26" spans="1:5" x14ac:dyDescent="0.45">
      <c r="A26" s="379"/>
      <c r="B26" s="91" t="s">
        <v>424</v>
      </c>
      <c r="C26" s="91" t="s">
        <v>420</v>
      </c>
      <c r="D26" s="91" t="s">
        <v>420</v>
      </c>
      <c r="E26" s="91" t="s">
        <v>425</v>
      </c>
    </row>
    <row r="27" spans="1:5" ht="28.5" x14ac:dyDescent="0.45">
      <c r="A27" s="377" t="s">
        <v>428</v>
      </c>
      <c r="B27" s="91" t="s">
        <v>413</v>
      </c>
      <c r="C27" s="91" t="s">
        <v>414</v>
      </c>
      <c r="D27" s="91" t="s">
        <v>415</v>
      </c>
      <c r="E27" s="91"/>
    </row>
    <row r="28" spans="1:5" ht="28.5" x14ac:dyDescent="0.45">
      <c r="A28" s="378"/>
      <c r="B28" s="91" t="s">
        <v>416</v>
      </c>
      <c r="C28" s="91" t="s">
        <v>429</v>
      </c>
      <c r="D28" s="91" t="s">
        <v>418</v>
      </c>
      <c r="E28" s="91"/>
    </row>
    <row r="29" spans="1:5" ht="28.5" x14ac:dyDescent="0.45">
      <c r="A29" s="378"/>
      <c r="B29" s="91" t="s">
        <v>427</v>
      </c>
      <c r="C29" s="91" t="s">
        <v>420</v>
      </c>
      <c r="D29" s="91" t="s">
        <v>420</v>
      </c>
      <c r="E29" s="91" t="s">
        <v>423</v>
      </c>
    </row>
    <row r="30" spans="1:5" x14ac:dyDescent="0.45">
      <c r="A30" s="379"/>
      <c r="B30" s="91" t="s">
        <v>424</v>
      </c>
      <c r="C30" s="91" t="s">
        <v>420</v>
      </c>
      <c r="D30" s="91" t="s">
        <v>420</v>
      </c>
      <c r="E30" s="91" t="s">
        <v>425</v>
      </c>
    </row>
    <row r="31" spans="1:5" ht="28.5" x14ac:dyDescent="0.45">
      <c r="A31" s="377" t="s">
        <v>430</v>
      </c>
      <c r="B31" s="91" t="s">
        <v>413</v>
      </c>
      <c r="C31" s="91" t="s">
        <v>414</v>
      </c>
      <c r="D31" s="91" t="s">
        <v>415</v>
      </c>
      <c r="E31" s="91"/>
    </row>
    <row r="32" spans="1:5" ht="28.5" x14ac:dyDescent="0.45">
      <c r="A32" s="378"/>
      <c r="B32" s="91" t="s">
        <v>416</v>
      </c>
      <c r="C32" s="91" t="s">
        <v>429</v>
      </c>
      <c r="D32" s="91" t="s">
        <v>418</v>
      </c>
      <c r="E32" s="91"/>
    </row>
    <row r="33" spans="1:5" x14ac:dyDescent="0.45">
      <c r="A33" s="379"/>
      <c r="B33" s="91" t="s">
        <v>431</v>
      </c>
      <c r="C33" s="91" t="s">
        <v>420</v>
      </c>
      <c r="D33" s="91" t="s">
        <v>420</v>
      </c>
      <c r="E33" s="91" t="s">
        <v>425</v>
      </c>
    </row>
    <row r="34" spans="1:5" ht="57" x14ac:dyDescent="0.45">
      <c r="A34" s="377" t="s">
        <v>432</v>
      </c>
      <c r="B34" s="91" t="s">
        <v>433</v>
      </c>
      <c r="C34" s="91" t="s">
        <v>434</v>
      </c>
      <c r="D34" s="91" t="s">
        <v>415</v>
      </c>
      <c r="E34" s="91"/>
    </row>
    <row r="35" spans="1:5" ht="28.5" x14ac:dyDescent="0.45">
      <c r="A35" s="378"/>
      <c r="B35" s="91" t="s">
        <v>416</v>
      </c>
      <c r="C35" s="91" t="s">
        <v>435</v>
      </c>
      <c r="D35" s="91" t="s">
        <v>418</v>
      </c>
      <c r="E35" s="91"/>
    </row>
    <row r="36" spans="1:5" x14ac:dyDescent="0.45">
      <c r="A36" s="379"/>
      <c r="B36" s="91" t="s">
        <v>431</v>
      </c>
      <c r="C36" s="91" t="s">
        <v>420</v>
      </c>
      <c r="D36" s="91" t="s">
        <v>420</v>
      </c>
      <c r="E36" s="91" t="s">
        <v>436</v>
      </c>
    </row>
  </sheetData>
  <mergeCells count="6">
    <mergeCell ref="A34:A36"/>
    <mergeCell ref="A1:D1"/>
    <mergeCell ref="A18:A22"/>
    <mergeCell ref="A23:A26"/>
    <mergeCell ref="A27:A30"/>
    <mergeCell ref="A31:A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EBC1-BD3A-4FBC-997C-0689E3782E8D}">
  <dimension ref="A1:T38"/>
  <sheetViews>
    <sheetView topLeftCell="F1" workbookViewId="0">
      <selection activeCell="M30" sqref="M30"/>
    </sheetView>
  </sheetViews>
  <sheetFormatPr baseColWidth="10" defaultColWidth="11" defaultRowHeight="14.25" x14ac:dyDescent="0.45"/>
  <cols>
    <col min="1" max="1" width="11" style="321"/>
    <col min="2" max="2" width="33.59765625" style="314" bestFit="1" customWidth="1"/>
    <col min="3" max="3" width="11" style="314" bestFit="1"/>
    <col min="4" max="4" width="19.86328125" style="314" bestFit="1" customWidth="1"/>
    <col min="5" max="5" width="65.59765625" style="314" bestFit="1" customWidth="1"/>
    <col min="6" max="6" width="19.1328125" style="314" bestFit="1" customWidth="1"/>
    <col min="7" max="7" width="14.3984375" style="314" bestFit="1" customWidth="1"/>
    <col min="8" max="8" width="13.265625" style="314" bestFit="1" customWidth="1"/>
    <col min="9" max="9" width="14.3984375" style="314" bestFit="1" customWidth="1"/>
    <col min="10" max="10" width="12" style="314" bestFit="1" customWidth="1"/>
    <col min="11" max="11" width="22" style="314" bestFit="1" customWidth="1"/>
    <col min="12" max="12" width="14.86328125" style="314" bestFit="1" customWidth="1"/>
    <col min="13" max="13" width="25" style="314" bestFit="1" customWidth="1"/>
    <col min="14" max="14" width="11" style="314"/>
    <col min="15" max="15" width="18.59765625" style="314" bestFit="1" customWidth="1"/>
    <col min="16" max="16" width="42.59765625" style="314" bestFit="1" customWidth="1"/>
    <col min="17" max="17" width="83" style="314" bestFit="1" customWidth="1"/>
    <col min="18" max="18" width="22" style="314" bestFit="1" customWidth="1"/>
    <col min="19" max="19" width="11" style="314"/>
    <col min="20" max="20" width="21" style="314" bestFit="1" customWidth="1"/>
    <col min="21" max="16384" width="11" style="314"/>
  </cols>
  <sheetData>
    <row r="1" spans="1:20" ht="15" customHeight="1" x14ac:dyDescent="0.45">
      <c r="A1" s="380" t="s">
        <v>437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2"/>
    </row>
    <row r="3" spans="1:20" ht="30" customHeight="1" x14ac:dyDescent="0.45">
      <c r="A3" s="319" t="s">
        <v>438</v>
      </c>
      <c r="B3" s="315" t="s">
        <v>439</v>
      </c>
      <c r="C3" s="315" t="s">
        <v>10</v>
      </c>
      <c r="D3" s="315" t="s">
        <v>440</v>
      </c>
      <c r="E3" s="315" t="s">
        <v>441</v>
      </c>
      <c r="F3" s="315" t="s">
        <v>13</v>
      </c>
      <c r="G3" s="315" t="s">
        <v>442</v>
      </c>
      <c r="H3" s="315" t="s">
        <v>443</v>
      </c>
      <c r="I3" s="315" t="s">
        <v>444</v>
      </c>
      <c r="J3" s="315" t="s">
        <v>445</v>
      </c>
      <c r="K3" s="315" t="s">
        <v>446</v>
      </c>
      <c r="L3" s="315" t="s">
        <v>447</v>
      </c>
      <c r="M3" s="315" t="s">
        <v>448</v>
      </c>
      <c r="N3" s="315" t="s">
        <v>449</v>
      </c>
      <c r="O3" s="315" t="s">
        <v>450</v>
      </c>
      <c r="P3" s="315" t="s">
        <v>451</v>
      </c>
      <c r="Q3" s="315" t="s">
        <v>452</v>
      </c>
      <c r="R3" s="315" t="s">
        <v>453</v>
      </c>
      <c r="S3" s="315" t="s">
        <v>454</v>
      </c>
      <c r="T3" s="315" t="s">
        <v>455</v>
      </c>
    </row>
    <row r="4" spans="1:20" ht="15" customHeight="1" x14ac:dyDescent="0.45">
      <c r="A4" s="320">
        <v>3</v>
      </c>
      <c r="B4" s="316" t="s">
        <v>456</v>
      </c>
      <c r="C4" s="316" t="s">
        <v>53</v>
      </c>
      <c r="D4" s="316" t="s">
        <v>457</v>
      </c>
      <c r="E4" s="317" t="s">
        <v>458</v>
      </c>
      <c r="F4" s="318">
        <v>25026</v>
      </c>
      <c r="G4" s="316" t="s">
        <v>458</v>
      </c>
      <c r="H4" s="318">
        <v>39153</v>
      </c>
      <c r="I4" s="316" t="s">
        <v>458</v>
      </c>
      <c r="J4" s="316" t="s">
        <v>458</v>
      </c>
      <c r="K4" s="318">
        <v>39153</v>
      </c>
      <c r="L4" s="316" t="s">
        <v>48</v>
      </c>
      <c r="M4" s="316" t="s">
        <v>49</v>
      </c>
      <c r="N4" s="316" t="s">
        <v>459</v>
      </c>
      <c r="O4" s="316" t="s">
        <v>51</v>
      </c>
      <c r="P4" s="316" t="s">
        <v>460</v>
      </c>
      <c r="Q4" s="317" t="s">
        <v>458</v>
      </c>
      <c r="R4" s="318">
        <v>45839</v>
      </c>
      <c r="S4" s="316" t="s">
        <v>461</v>
      </c>
      <c r="T4" s="316" t="s">
        <v>462</v>
      </c>
    </row>
    <row r="5" spans="1:20" ht="15" customHeight="1" x14ac:dyDescent="0.45">
      <c r="A5" s="320">
        <v>8</v>
      </c>
      <c r="B5" s="316" t="s">
        <v>463</v>
      </c>
      <c r="C5" s="316" t="s">
        <v>53</v>
      </c>
      <c r="D5" s="316" t="s">
        <v>457</v>
      </c>
      <c r="E5" s="317" t="s">
        <v>458</v>
      </c>
      <c r="F5" s="318">
        <v>27781</v>
      </c>
      <c r="G5" s="316" t="s">
        <v>458</v>
      </c>
      <c r="H5" s="318">
        <v>35128</v>
      </c>
      <c r="I5" s="316" t="s">
        <v>458</v>
      </c>
      <c r="J5" s="316" t="s">
        <v>458</v>
      </c>
      <c r="K5" s="318">
        <v>35128</v>
      </c>
      <c r="L5" s="316" t="s">
        <v>56</v>
      </c>
      <c r="M5" s="316" t="s">
        <v>57</v>
      </c>
      <c r="N5" s="316" t="s">
        <v>464</v>
      </c>
      <c r="O5" s="316" t="s">
        <v>51</v>
      </c>
      <c r="P5" s="316" t="s">
        <v>465</v>
      </c>
      <c r="Q5" s="317" t="s">
        <v>458</v>
      </c>
      <c r="R5" s="318">
        <v>43405</v>
      </c>
      <c r="S5" s="316" t="s">
        <v>466</v>
      </c>
      <c r="T5" s="316" t="s">
        <v>462</v>
      </c>
    </row>
    <row r="6" spans="1:20" ht="15" customHeight="1" x14ac:dyDescent="0.45">
      <c r="A6" s="320">
        <v>9</v>
      </c>
      <c r="B6" s="316" t="s">
        <v>467</v>
      </c>
      <c r="C6" s="316" t="s">
        <v>53</v>
      </c>
      <c r="D6" s="316" t="s">
        <v>457</v>
      </c>
      <c r="E6" s="317" t="s">
        <v>458</v>
      </c>
      <c r="F6" s="318">
        <v>28477</v>
      </c>
      <c r="G6" s="316" t="s">
        <v>458</v>
      </c>
      <c r="H6" s="318">
        <v>35541</v>
      </c>
      <c r="I6" s="316" t="s">
        <v>458</v>
      </c>
      <c r="J6" s="316" t="s">
        <v>458</v>
      </c>
      <c r="K6" s="318">
        <v>35541</v>
      </c>
      <c r="L6" s="316" t="s">
        <v>48</v>
      </c>
      <c r="M6" s="316" t="s">
        <v>59</v>
      </c>
      <c r="N6" s="316" t="s">
        <v>459</v>
      </c>
      <c r="O6" s="316" t="s">
        <v>51</v>
      </c>
      <c r="P6" s="316" t="s">
        <v>468</v>
      </c>
      <c r="Q6" s="317" t="s">
        <v>458</v>
      </c>
      <c r="R6" s="318">
        <v>43405</v>
      </c>
      <c r="S6" s="316" t="s">
        <v>461</v>
      </c>
      <c r="T6" s="316" t="s">
        <v>462</v>
      </c>
    </row>
    <row r="7" spans="1:20" ht="15" customHeight="1" x14ac:dyDescent="0.45">
      <c r="A7" s="320">
        <v>18</v>
      </c>
      <c r="B7" s="316" t="s">
        <v>469</v>
      </c>
      <c r="C7" s="316" t="s">
        <v>53</v>
      </c>
      <c r="D7" s="316" t="s">
        <v>457</v>
      </c>
      <c r="E7" s="317" t="s">
        <v>458</v>
      </c>
      <c r="F7" s="318">
        <v>23348</v>
      </c>
      <c r="G7" s="316" t="s">
        <v>458</v>
      </c>
      <c r="H7" s="318">
        <v>37734</v>
      </c>
      <c r="I7" s="316" t="s">
        <v>458</v>
      </c>
      <c r="J7" s="316" t="s">
        <v>458</v>
      </c>
      <c r="K7" s="318">
        <v>37734</v>
      </c>
      <c r="L7" s="316" t="s">
        <v>63</v>
      </c>
      <c r="M7" s="316" t="s">
        <v>57</v>
      </c>
      <c r="N7" s="316" t="s">
        <v>464</v>
      </c>
      <c r="O7" s="316" t="s">
        <v>51</v>
      </c>
      <c r="P7" s="316" t="s">
        <v>470</v>
      </c>
      <c r="Q7" s="317" t="s">
        <v>458</v>
      </c>
      <c r="R7" s="318">
        <v>43405</v>
      </c>
      <c r="S7" s="316" t="s">
        <v>471</v>
      </c>
      <c r="T7" s="316" t="s">
        <v>472</v>
      </c>
    </row>
    <row r="8" spans="1:20" ht="15" customHeight="1" x14ac:dyDescent="0.45">
      <c r="A8" s="320">
        <v>19</v>
      </c>
      <c r="B8" s="316" t="s">
        <v>473</v>
      </c>
      <c r="C8" s="316" t="s">
        <v>53</v>
      </c>
      <c r="D8" s="316" t="s">
        <v>457</v>
      </c>
      <c r="E8" s="317" t="s">
        <v>458</v>
      </c>
      <c r="F8" s="318">
        <v>26580</v>
      </c>
      <c r="G8" s="316" t="s">
        <v>458</v>
      </c>
      <c r="H8" s="318">
        <v>36026</v>
      </c>
      <c r="I8" s="316" t="s">
        <v>458</v>
      </c>
      <c r="J8" s="316" t="s">
        <v>458</v>
      </c>
      <c r="K8" s="318">
        <v>36026</v>
      </c>
      <c r="L8" s="316" t="s">
        <v>63</v>
      </c>
      <c r="M8" s="316" t="s">
        <v>57</v>
      </c>
      <c r="N8" s="316" t="s">
        <v>464</v>
      </c>
      <c r="O8" s="316" t="s">
        <v>51</v>
      </c>
      <c r="P8" s="316" t="s">
        <v>470</v>
      </c>
      <c r="Q8" s="317" t="s">
        <v>458</v>
      </c>
      <c r="R8" s="318">
        <v>43405</v>
      </c>
      <c r="S8" s="316" t="s">
        <v>474</v>
      </c>
      <c r="T8" s="316" t="s">
        <v>475</v>
      </c>
    </row>
    <row r="9" spans="1:20" ht="15" customHeight="1" x14ac:dyDescent="0.45">
      <c r="A9" s="320">
        <v>28</v>
      </c>
      <c r="B9" s="316" t="s">
        <v>476</v>
      </c>
      <c r="C9" s="316" t="s">
        <v>53</v>
      </c>
      <c r="D9" s="316" t="s">
        <v>457</v>
      </c>
      <c r="E9" s="317" t="s">
        <v>458</v>
      </c>
      <c r="F9" s="318">
        <v>29066</v>
      </c>
      <c r="G9" s="316" t="s">
        <v>458</v>
      </c>
      <c r="H9" s="318">
        <v>39301</v>
      </c>
      <c r="I9" s="316" t="s">
        <v>458</v>
      </c>
      <c r="J9" s="316" t="s">
        <v>458</v>
      </c>
      <c r="K9" s="318">
        <v>39301</v>
      </c>
      <c r="L9" s="316" t="s">
        <v>56</v>
      </c>
      <c r="M9" s="316" t="s">
        <v>57</v>
      </c>
      <c r="N9" s="316" t="s">
        <v>464</v>
      </c>
      <c r="O9" s="316" t="s">
        <v>51</v>
      </c>
      <c r="P9" s="316" t="s">
        <v>470</v>
      </c>
      <c r="Q9" s="317" t="s">
        <v>458</v>
      </c>
      <c r="R9" s="318">
        <v>43405</v>
      </c>
      <c r="S9" s="316" t="s">
        <v>477</v>
      </c>
      <c r="T9" s="316" t="s">
        <v>478</v>
      </c>
    </row>
    <row r="10" spans="1:20" ht="15" customHeight="1" x14ac:dyDescent="0.45">
      <c r="A10" s="320">
        <v>31</v>
      </c>
      <c r="B10" s="316" t="s">
        <v>479</v>
      </c>
      <c r="C10" s="316" t="s">
        <v>53</v>
      </c>
      <c r="D10" s="316" t="s">
        <v>457</v>
      </c>
      <c r="E10" s="317" t="s">
        <v>458</v>
      </c>
      <c r="F10" s="318">
        <v>24222</v>
      </c>
      <c r="G10" s="316" t="s">
        <v>458</v>
      </c>
      <c r="H10" s="318">
        <v>42107</v>
      </c>
      <c r="I10" s="316" t="s">
        <v>458</v>
      </c>
      <c r="J10" s="316" t="s">
        <v>458</v>
      </c>
      <c r="K10" s="318">
        <v>42107</v>
      </c>
      <c r="L10" s="316" t="s">
        <v>56</v>
      </c>
      <c r="M10" s="316" t="s">
        <v>70</v>
      </c>
      <c r="N10" s="316" t="s">
        <v>480</v>
      </c>
      <c r="O10" s="316" t="s">
        <v>71</v>
      </c>
      <c r="P10" s="316" t="s">
        <v>481</v>
      </c>
      <c r="Q10" s="317" t="s">
        <v>458</v>
      </c>
      <c r="R10" s="318">
        <v>43405</v>
      </c>
      <c r="S10" s="316" t="s">
        <v>482</v>
      </c>
      <c r="T10" s="316" t="s">
        <v>478</v>
      </c>
    </row>
    <row r="11" spans="1:20" ht="15" customHeight="1" x14ac:dyDescent="0.45">
      <c r="A11" s="320">
        <v>33</v>
      </c>
      <c r="B11" s="316" t="s">
        <v>483</v>
      </c>
      <c r="C11" s="316" t="s">
        <v>53</v>
      </c>
      <c r="D11" s="316" t="s">
        <v>457</v>
      </c>
      <c r="E11" s="317" t="s">
        <v>458</v>
      </c>
      <c r="F11" s="318">
        <v>24037</v>
      </c>
      <c r="G11" s="316" t="s">
        <v>458</v>
      </c>
      <c r="H11" s="318">
        <v>39182</v>
      </c>
      <c r="I11" s="316" t="s">
        <v>458</v>
      </c>
      <c r="J11" s="316" t="s">
        <v>458</v>
      </c>
      <c r="K11" s="318">
        <v>39182</v>
      </c>
      <c r="L11" s="316" t="s">
        <v>56</v>
      </c>
      <c r="M11" s="316" t="s">
        <v>57</v>
      </c>
      <c r="N11" s="316" t="s">
        <v>464</v>
      </c>
      <c r="O11" s="316" t="s">
        <v>51</v>
      </c>
      <c r="P11" s="316" t="s">
        <v>470</v>
      </c>
      <c r="Q11" s="317" t="s">
        <v>458</v>
      </c>
      <c r="R11" s="318">
        <v>43405</v>
      </c>
      <c r="S11" s="316" t="s">
        <v>466</v>
      </c>
      <c r="T11" s="316" t="s">
        <v>462</v>
      </c>
    </row>
    <row r="12" spans="1:20" ht="15" customHeight="1" x14ac:dyDescent="0.45">
      <c r="A12" s="320">
        <v>35</v>
      </c>
      <c r="B12" s="316" t="s">
        <v>484</v>
      </c>
      <c r="C12" s="316" t="s">
        <v>53</v>
      </c>
      <c r="D12" s="316" t="s">
        <v>457</v>
      </c>
      <c r="E12" s="317" t="s">
        <v>458</v>
      </c>
      <c r="F12" s="318">
        <v>31288</v>
      </c>
      <c r="G12" s="316" t="s">
        <v>458</v>
      </c>
      <c r="H12" s="318">
        <v>41673</v>
      </c>
      <c r="I12" s="316" t="s">
        <v>458</v>
      </c>
      <c r="J12" s="316" t="s">
        <v>458</v>
      </c>
      <c r="K12" s="318">
        <v>41673</v>
      </c>
      <c r="L12" s="316" t="s">
        <v>56</v>
      </c>
      <c r="M12" s="316" t="s">
        <v>76</v>
      </c>
      <c r="N12" s="316" t="s">
        <v>464</v>
      </c>
      <c r="O12" s="316" t="s">
        <v>51</v>
      </c>
      <c r="P12" s="316" t="s">
        <v>485</v>
      </c>
      <c r="Q12" s="317" t="s">
        <v>458</v>
      </c>
      <c r="R12" s="318">
        <v>45717</v>
      </c>
      <c r="S12" s="316" t="s">
        <v>477</v>
      </c>
      <c r="T12" s="316" t="s">
        <v>478</v>
      </c>
    </row>
    <row r="13" spans="1:20" ht="15" customHeight="1" x14ac:dyDescent="0.45">
      <c r="A13" s="320">
        <v>40</v>
      </c>
      <c r="B13" s="316" t="s">
        <v>486</v>
      </c>
      <c r="C13" s="316" t="s">
        <v>53</v>
      </c>
      <c r="D13" s="316" t="s">
        <v>457</v>
      </c>
      <c r="E13" s="317" t="s">
        <v>458</v>
      </c>
      <c r="F13" s="318">
        <v>24052</v>
      </c>
      <c r="G13" s="316" t="s">
        <v>458</v>
      </c>
      <c r="H13" s="318">
        <v>41334</v>
      </c>
      <c r="I13" s="316" t="s">
        <v>458</v>
      </c>
      <c r="J13" s="316" t="s">
        <v>458</v>
      </c>
      <c r="K13" s="318">
        <v>33512</v>
      </c>
      <c r="L13" s="316" t="s">
        <v>56</v>
      </c>
      <c r="M13" s="316" t="s">
        <v>57</v>
      </c>
      <c r="N13" s="316" t="s">
        <v>464</v>
      </c>
      <c r="O13" s="316" t="s">
        <v>51</v>
      </c>
      <c r="P13" s="316" t="s">
        <v>470</v>
      </c>
      <c r="Q13" s="317" t="s">
        <v>458</v>
      </c>
      <c r="R13" s="318">
        <v>43405</v>
      </c>
      <c r="S13" s="316" t="s">
        <v>477</v>
      </c>
      <c r="T13" s="316" t="s">
        <v>478</v>
      </c>
    </row>
    <row r="14" spans="1:20" ht="15" customHeight="1" x14ac:dyDescent="0.45">
      <c r="A14" s="320">
        <v>68</v>
      </c>
      <c r="B14" s="316" t="s">
        <v>487</v>
      </c>
      <c r="C14" s="316" t="s">
        <v>53</v>
      </c>
      <c r="D14" s="316" t="s">
        <v>457</v>
      </c>
      <c r="E14" s="317" t="s">
        <v>458</v>
      </c>
      <c r="F14" s="318">
        <v>29105</v>
      </c>
      <c r="G14" s="316" t="s">
        <v>458</v>
      </c>
      <c r="H14" s="318">
        <v>43556</v>
      </c>
      <c r="I14" s="316" t="s">
        <v>458</v>
      </c>
      <c r="J14" s="316" t="s">
        <v>458</v>
      </c>
      <c r="K14" s="318">
        <v>43556</v>
      </c>
      <c r="L14" s="316" t="s">
        <v>48</v>
      </c>
      <c r="M14" s="316" t="s">
        <v>76</v>
      </c>
      <c r="N14" s="316" t="s">
        <v>464</v>
      </c>
      <c r="O14" s="316" t="s">
        <v>51</v>
      </c>
      <c r="P14" s="316" t="s">
        <v>470</v>
      </c>
      <c r="Q14" s="317" t="s">
        <v>458</v>
      </c>
      <c r="R14" s="318">
        <v>43586</v>
      </c>
      <c r="S14" s="316" t="s">
        <v>488</v>
      </c>
      <c r="T14" s="316" t="s">
        <v>462</v>
      </c>
    </row>
    <row r="15" spans="1:20" ht="15" customHeight="1" x14ac:dyDescent="0.45">
      <c r="A15" s="320">
        <v>69</v>
      </c>
      <c r="B15" s="316" t="s">
        <v>489</v>
      </c>
      <c r="C15" s="316" t="s">
        <v>53</v>
      </c>
      <c r="D15" s="316" t="s">
        <v>490</v>
      </c>
      <c r="E15" s="316" t="s">
        <v>491</v>
      </c>
      <c r="F15" s="318">
        <v>31417</v>
      </c>
      <c r="G15" s="316" t="s">
        <v>458</v>
      </c>
      <c r="H15" s="318">
        <v>43591</v>
      </c>
      <c r="I15" s="316" t="s">
        <v>458</v>
      </c>
      <c r="J15" s="316" t="s">
        <v>458</v>
      </c>
      <c r="K15" s="318">
        <v>43591</v>
      </c>
      <c r="L15" s="316" t="s">
        <v>56</v>
      </c>
      <c r="M15" s="316" t="s">
        <v>76</v>
      </c>
      <c r="N15" s="316" t="s">
        <v>492</v>
      </c>
      <c r="O15" s="316" t="s">
        <v>51</v>
      </c>
      <c r="P15" s="316" t="s">
        <v>465</v>
      </c>
      <c r="Q15" s="317" t="s">
        <v>458</v>
      </c>
      <c r="R15" s="318">
        <v>43591</v>
      </c>
      <c r="S15" s="316" t="s">
        <v>477</v>
      </c>
      <c r="T15" s="316" t="s">
        <v>478</v>
      </c>
    </row>
    <row r="16" spans="1:20" ht="15" customHeight="1" x14ac:dyDescent="0.45">
      <c r="A16" s="320">
        <v>70</v>
      </c>
      <c r="B16" s="316" t="s">
        <v>493</v>
      </c>
      <c r="C16" s="316" t="s">
        <v>53</v>
      </c>
      <c r="D16" s="316" t="s">
        <v>457</v>
      </c>
      <c r="E16" s="316" t="s">
        <v>494</v>
      </c>
      <c r="F16" s="318">
        <v>26138</v>
      </c>
      <c r="G16" s="316" t="s">
        <v>458</v>
      </c>
      <c r="H16" s="318">
        <v>43710</v>
      </c>
      <c r="I16" s="316" t="s">
        <v>458</v>
      </c>
      <c r="J16" s="316" t="s">
        <v>458</v>
      </c>
      <c r="K16" s="318">
        <v>43710</v>
      </c>
      <c r="L16" s="316" t="s">
        <v>56</v>
      </c>
      <c r="M16" s="316" t="s">
        <v>85</v>
      </c>
      <c r="N16" s="316" t="s">
        <v>464</v>
      </c>
      <c r="O16" s="316" t="s">
        <v>51</v>
      </c>
      <c r="P16" s="316" t="s">
        <v>470</v>
      </c>
      <c r="Q16" s="317" t="s">
        <v>458</v>
      </c>
      <c r="R16" s="318">
        <v>44927</v>
      </c>
      <c r="S16" s="316" t="s">
        <v>466</v>
      </c>
      <c r="T16" s="316" t="s">
        <v>462</v>
      </c>
    </row>
    <row r="17" spans="1:20" ht="15" customHeight="1" x14ac:dyDescent="0.45">
      <c r="A17" s="320">
        <v>77</v>
      </c>
      <c r="B17" s="316" t="s">
        <v>495</v>
      </c>
      <c r="C17" s="316" t="s">
        <v>88</v>
      </c>
      <c r="D17" s="316" t="s">
        <v>457</v>
      </c>
      <c r="E17" s="317" t="s">
        <v>458</v>
      </c>
      <c r="F17" s="318">
        <v>23227</v>
      </c>
      <c r="G17" s="316" t="s">
        <v>458</v>
      </c>
      <c r="H17" s="318">
        <v>38586</v>
      </c>
      <c r="I17" s="316" t="s">
        <v>458</v>
      </c>
      <c r="J17" s="316" t="s">
        <v>458</v>
      </c>
      <c r="K17" s="318">
        <v>38586</v>
      </c>
      <c r="L17" s="316" t="s">
        <v>56</v>
      </c>
      <c r="M17" s="316" t="s">
        <v>57</v>
      </c>
      <c r="N17" s="316" t="s">
        <v>464</v>
      </c>
      <c r="O17" s="316" t="s">
        <v>51</v>
      </c>
      <c r="P17" s="316" t="s">
        <v>470</v>
      </c>
      <c r="Q17" s="317" t="s">
        <v>458</v>
      </c>
      <c r="R17" s="318">
        <v>44287</v>
      </c>
      <c r="S17" s="316" t="s">
        <v>466</v>
      </c>
      <c r="T17" s="316" t="s">
        <v>462</v>
      </c>
    </row>
    <row r="18" spans="1:20" ht="15" customHeight="1" x14ac:dyDescent="0.45">
      <c r="A18" s="320">
        <v>80</v>
      </c>
      <c r="B18" s="316" t="s">
        <v>496</v>
      </c>
      <c r="C18" s="316" t="s">
        <v>88</v>
      </c>
      <c r="D18" s="316" t="s">
        <v>457</v>
      </c>
      <c r="E18" s="317" t="s">
        <v>458</v>
      </c>
      <c r="F18" s="318">
        <v>37594</v>
      </c>
      <c r="G18" s="316" t="s">
        <v>458</v>
      </c>
      <c r="H18" s="318">
        <v>45165</v>
      </c>
      <c r="I18" s="316" t="s">
        <v>458</v>
      </c>
      <c r="J18" s="316" t="s">
        <v>458</v>
      </c>
      <c r="K18" s="318">
        <v>44435</v>
      </c>
      <c r="L18" s="316" t="s">
        <v>48</v>
      </c>
      <c r="M18" s="316" t="s">
        <v>91</v>
      </c>
      <c r="N18" s="316" t="s">
        <v>480</v>
      </c>
      <c r="O18" s="316" t="s">
        <v>71</v>
      </c>
      <c r="P18" s="316" t="s">
        <v>497</v>
      </c>
      <c r="Q18" s="317" t="s">
        <v>458</v>
      </c>
      <c r="R18" s="318">
        <v>46054</v>
      </c>
      <c r="S18" s="316" t="s">
        <v>498</v>
      </c>
      <c r="T18" s="316" t="s">
        <v>478</v>
      </c>
    </row>
    <row r="19" spans="1:20" ht="15" customHeight="1" x14ac:dyDescent="0.45">
      <c r="A19" s="320">
        <v>81</v>
      </c>
      <c r="B19" s="316" t="s">
        <v>499</v>
      </c>
      <c r="C19" s="316" t="s">
        <v>53</v>
      </c>
      <c r="D19" s="316" t="s">
        <v>457</v>
      </c>
      <c r="E19" s="317" t="s">
        <v>458</v>
      </c>
      <c r="F19" s="318">
        <v>36214</v>
      </c>
      <c r="G19" s="316" t="s">
        <v>458</v>
      </c>
      <c r="H19" s="318">
        <v>44440</v>
      </c>
      <c r="I19" s="316" t="s">
        <v>458</v>
      </c>
      <c r="J19" s="316" t="s">
        <v>458</v>
      </c>
      <c r="K19" s="318">
        <v>44440</v>
      </c>
      <c r="L19" s="316" t="s">
        <v>56</v>
      </c>
      <c r="M19" s="316" t="s">
        <v>85</v>
      </c>
      <c r="N19" s="316" t="s">
        <v>464</v>
      </c>
      <c r="O19" s="316" t="s">
        <v>51</v>
      </c>
      <c r="P19" s="316" t="s">
        <v>465</v>
      </c>
      <c r="Q19" s="317" t="s">
        <v>458</v>
      </c>
      <c r="R19" s="318">
        <v>44440</v>
      </c>
      <c r="S19" s="316" t="s">
        <v>477</v>
      </c>
      <c r="T19" s="316" t="s">
        <v>478</v>
      </c>
    </row>
    <row r="20" spans="1:20" ht="15" customHeight="1" x14ac:dyDescent="0.45">
      <c r="A20" s="320">
        <v>83</v>
      </c>
      <c r="B20" s="316" t="s">
        <v>500</v>
      </c>
      <c r="C20" s="316" t="s">
        <v>53</v>
      </c>
      <c r="D20" s="316" t="s">
        <v>457</v>
      </c>
      <c r="E20" s="317" t="s">
        <v>458</v>
      </c>
      <c r="F20" s="318">
        <v>29677</v>
      </c>
      <c r="G20" s="316" t="s">
        <v>458</v>
      </c>
      <c r="H20" s="318">
        <v>44446</v>
      </c>
      <c r="I20" s="316" t="s">
        <v>458</v>
      </c>
      <c r="J20" s="316" t="s">
        <v>458</v>
      </c>
      <c r="K20" s="318">
        <v>44446</v>
      </c>
      <c r="L20" s="316" t="s">
        <v>63</v>
      </c>
      <c r="M20" s="316" t="s">
        <v>85</v>
      </c>
      <c r="N20" s="316" t="s">
        <v>464</v>
      </c>
      <c r="O20" s="316" t="s">
        <v>51</v>
      </c>
      <c r="P20" s="316" t="s">
        <v>465</v>
      </c>
      <c r="Q20" s="317" t="s">
        <v>458</v>
      </c>
      <c r="R20" s="318">
        <v>44446</v>
      </c>
      <c r="S20" s="316" t="s">
        <v>474</v>
      </c>
      <c r="T20" s="316" t="s">
        <v>475</v>
      </c>
    </row>
    <row r="21" spans="1:20" ht="15" customHeight="1" x14ac:dyDescent="0.45">
      <c r="A21" s="320">
        <v>2772</v>
      </c>
      <c r="B21" s="316" t="s">
        <v>501</v>
      </c>
      <c r="C21" s="316" t="s">
        <v>53</v>
      </c>
      <c r="D21" s="316" t="s">
        <v>457</v>
      </c>
      <c r="E21" s="317" t="s">
        <v>458</v>
      </c>
      <c r="F21" s="318">
        <v>31293</v>
      </c>
      <c r="G21" s="316" t="s">
        <v>458</v>
      </c>
      <c r="H21" s="318">
        <v>44440</v>
      </c>
      <c r="I21" s="316" t="s">
        <v>458</v>
      </c>
      <c r="J21" s="316" t="s">
        <v>458</v>
      </c>
      <c r="K21" s="318">
        <v>44440</v>
      </c>
      <c r="L21" s="316" t="s">
        <v>56</v>
      </c>
      <c r="M21" s="316" t="s">
        <v>98</v>
      </c>
      <c r="N21" s="316" t="s">
        <v>502</v>
      </c>
      <c r="O21" s="316" t="s">
        <v>99</v>
      </c>
      <c r="P21" s="316" t="s">
        <v>503</v>
      </c>
      <c r="Q21" s="317" t="s">
        <v>458</v>
      </c>
      <c r="R21" s="318">
        <v>44440</v>
      </c>
      <c r="S21" s="316" t="s">
        <v>477</v>
      </c>
      <c r="T21" s="316" t="s">
        <v>478</v>
      </c>
    </row>
    <row r="22" spans="1:20" ht="15" customHeight="1" x14ac:dyDescent="0.45">
      <c r="A22" s="320">
        <v>2773</v>
      </c>
      <c r="B22" s="316" t="s">
        <v>504</v>
      </c>
      <c r="C22" s="316" t="s">
        <v>53</v>
      </c>
      <c r="D22" s="316" t="s">
        <v>457</v>
      </c>
      <c r="E22" s="317" t="s">
        <v>458</v>
      </c>
      <c r="F22" s="318">
        <v>31093</v>
      </c>
      <c r="G22" s="316" t="s">
        <v>458</v>
      </c>
      <c r="H22" s="318">
        <v>44473</v>
      </c>
      <c r="I22" s="316" t="s">
        <v>458</v>
      </c>
      <c r="J22" s="316" t="s">
        <v>458</v>
      </c>
      <c r="K22" s="318">
        <v>44473</v>
      </c>
      <c r="L22" s="316" t="s">
        <v>63</v>
      </c>
      <c r="M22" s="316" t="s">
        <v>85</v>
      </c>
      <c r="N22" s="316" t="s">
        <v>464</v>
      </c>
      <c r="O22" s="316" t="s">
        <v>51</v>
      </c>
      <c r="P22" s="316" t="s">
        <v>465</v>
      </c>
      <c r="Q22" s="317" t="s">
        <v>458</v>
      </c>
      <c r="R22" s="318">
        <v>44473</v>
      </c>
      <c r="S22" s="316" t="s">
        <v>474</v>
      </c>
      <c r="T22" s="316" t="s">
        <v>475</v>
      </c>
    </row>
    <row r="23" spans="1:20" ht="15" customHeight="1" x14ac:dyDescent="0.45">
      <c r="A23" s="320">
        <v>2774</v>
      </c>
      <c r="B23" s="316" t="s">
        <v>505</v>
      </c>
      <c r="C23" s="316" t="s">
        <v>53</v>
      </c>
      <c r="D23" s="316" t="s">
        <v>457</v>
      </c>
      <c r="E23" s="317" t="s">
        <v>458</v>
      </c>
      <c r="F23" s="318">
        <v>28742</v>
      </c>
      <c r="G23" s="316" t="s">
        <v>458</v>
      </c>
      <c r="H23" s="318">
        <v>44480</v>
      </c>
      <c r="I23" s="316" t="s">
        <v>458</v>
      </c>
      <c r="J23" s="316" t="s">
        <v>458</v>
      </c>
      <c r="K23" s="318">
        <v>44480</v>
      </c>
      <c r="L23" s="316" t="s">
        <v>56</v>
      </c>
      <c r="M23" s="316" t="s">
        <v>85</v>
      </c>
      <c r="N23" s="316" t="s">
        <v>492</v>
      </c>
      <c r="O23" s="316" t="s">
        <v>51</v>
      </c>
      <c r="P23" s="316" t="s">
        <v>465</v>
      </c>
      <c r="Q23" s="317" t="s">
        <v>458</v>
      </c>
      <c r="R23" s="318">
        <v>44480</v>
      </c>
      <c r="S23" s="316" t="s">
        <v>477</v>
      </c>
      <c r="T23" s="316" t="s">
        <v>478</v>
      </c>
    </row>
    <row r="24" spans="1:20" ht="15" customHeight="1" x14ac:dyDescent="0.45">
      <c r="A24" s="320">
        <v>2782</v>
      </c>
      <c r="B24" s="316" t="s">
        <v>506</v>
      </c>
      <c r="C24" s="316" t="s">
        <v>53</v>
      </c>
      <c r="D24" s="316" t="s">
        <v>457</v>
      </c>
      <c r="E24" s="317" t="s">
        <v>458</v>
      </c>
      <c r="F24" s="318">
        <v>28437</v>
      </c>
      <c r="G24" s="316" t="s">
        <v>458</v>
      </c>
      <c r="H24" s="318">
        <v>44867</v>
      </c>
      <c r="I24" s="316" t="s">
        <v>458</v>
      </c>
      <c r="J24" s="316" t="s">
        <v>458</v>
      </c>
      <c r="K24" s="318">
        <v>44867</v>
      </c>
      <c r="L24" s="316" t="s">
        <v>63</v>
      </c>
      <c r="M24" s="316" t="s">
        <v>85</v>
      </c>
      <c r="N24" s="316" t="s">
        <v>464</v>
      </c>
      <c r="O24" s="316" t="s">
        <v>51</v>
      </c>
      <c r="P24" s="316" t="s">
        <v>465</v>
      </c>
      <c r="Q24" s="317" t="s">
        <v>458</v>
      </c>
      <c r="R24" s="318">
        <v>44867</v>
      </c>
      <c r="S24" s="316" t="s">
        <v>471</v>
      </c>
      <c r="T24" s="316" t="s">
        <v>507</v>
      </c>
    </row>
    <row r="25" spans="1:20" ht="15" customHeight="1" x14ac:dyDescent="0.45">
      <c r="A25" s="320">
        <v>2784</v>
      </c>
      <c r="B25" s="316" t="s">
        <v>508</v>
      </c>
      <c r="C25" s="316" t="s">
        <v>53</v>
      </c>
      <c r="D25" s="316" t="s">
        <v>509</v>
      </c>
      <c r="E25" s="317" t="s">
        <v>458</v>
      </c>
      <c r="F25" s="318">
        <v>32534</v>
      </c>
      <c r="G25" s="316" t="s">
        <v>458</v>
      </c>
      <c r="H25" s="318">
        <v>45027</v>
      </c>
      <c r="I25" s="316" t="s">
        <v>458</v>
      </c>
      <c r="J25" s="316" t="s">
        <v>458</v>
      </c>
      <c r="K25" s="318">
        <v>45027</v>
      </c>
      <c r="L25" s="316" t="s">
        <v>56</v>
      </c>
      <c r="M25" s="316" t="s">
        <v>57</v>
      </c>
      <c r="N25" s="316" t="s">
        <v>464</v>
      </c>
      <c r="O25" s="316" t="s">
        <v>51</v>
      </c>
      <c r="P25" s="316" t="s">
        <v>465</v>
      </c>
      <c r="Q25" s="317" t="s">
        <v>458</v>
      </c>
      <c r="R25" s="318">
        <v>45027</v>
      </c>
      <c r="S25" s="316" t="s">
        <v>477</v>
      </c>
      <c r="T25" s="316" t="s">
        <v>478</v>
      </c>
    </row>
    <row r="26" spans="1:20" ht="15" customHeight="1" x14ac:dyDescent="0.45">
      <c r="A26" s="320">
        <v>2789</v>
      </c>
      <c r="B26" s="316" t="s">
        <v>510</v>
      </c>
      <c r="C26" s="316" t="s">
        <v>53</v>
      </c>
      <c r="D26" s="316" t="s">
        <v>509</v>
      </c>
      <c r="E26" s="317" t="s">
        <v>458</v>
      </c>
      <c r="F26" s="318">
        <v>31247</v>
      </c>
      <c r="G26" s="316" t="s">
        <v>458</v>
      </c>
      <c r="H26" s="318">
        <v>45201</v>
      </c>
      <c r="I26" s="316" t="s">
        <v>458</v>
      </c>
      <c r="J26" s="316" t="s">
        <v>458</v>
      </c>
      <c r="K26" s="318">
        <v>45201</v>
      </c>
      <c r="L26" s="316" t="s">
        <v>48</v>
      </c>
      <c r="M26" s="316" t="s">
        <v>110</v>
      </c>
      <c r="N26" s="316" t="s">
        <v>511</v>
      </c>
      <c r="O26" s="316" t="s">
        <v>51</v>
      </c>
      <c r="P26" s="316" t="s">
        <v>468</v>
      </c>
      <c r="Q26" s="317" t="s">
        <v>458</v>
      </c>
      <c r="R26" s="318">
        <v>45201</v>
      </c>
      <c r="S26" s="316" t="s">
        <v>461</v>
      </c>
      <c r="T26" s="316" t="s">
        <v>462</v>
      </c>
    </row>
    <row r="27" spans="1:20" ht="15" customHeight="1" x14ac:dyDescent="0.45">
      <c r="A27" s="320">
        <v>2791</v>
      </c>
      <c r="B27" s="316" t="s">
        <v>512</v>
      </c>
      <c r="C27" s="316" t="s">
        <v>53</v>
      </c>
      <c r="D27" s="316" t="s">
        <v>509</v>
      </c>
      <c r="E27" s="317" t="s">
        <v>458</v>
      </c>
      <c r="F27" s="318">
        <v>25564</v>
      </c>
      <c r="G27" s="316" t="s">
        <v>458</v>
      </c>
      <c r="H27" s="318">
        <v>45208</v>
      </c>
      <c r="I27" s="316" t="s">
        <v>458</v>
      </c>
      <c r="J27" s="316" t="s">
        <v>458</v>
      </c>
      <c r="K27" s="318">
        <v>45208</v>
      </c>
      <c r="L27" s="316" t="s">
        <v>56</v>
      </c>
      <c r="M27" s="316" t="s">
        <v>85</v>
      </c>
      <c r="N27" s="316" t="s">
        <v>464</v>
      </c>
      <c r="O27" s="316" t="s">
        <v>51</v>
      </c>
      <c r="P27" s="316" t="s">
        <v>465</v>
      </c>
      <c r="Q27" s="317" t="s">
        <v>458</v>
      </c>
      <c r="R27" s="318">
        <v>45208</v>
      </c>
      <c r="S27" s="316" t="s">
        <v>477</v>
      </c>
      <c r="T27" s="316" t="s">
        <v>478</v>
      </c>
    </row>
    <row r="28" spans="1:20" ht="15" customHeight="1" x14ac:dyDescent="0.45">
      <c r="A28" s="320">
        <v>2792</v>
      </c>
      <c r="B28" s="316" t="s">
        <v>513</v>
      </c>
      <c r="C28" s="316" t="s">
        <v>88</v>
      </c>
      <c r="D28" s="316" t="s">
        <v>509</v>
      </c>
      <c r="E28" s="317" t="s">
        <v>458</v>
      </c>
      <c r="F28" s="318">
        <v>35704</v>
      </c>
      <c r="G28" s="316" t="s">
        <v>458</v>
      </c>
      <c r="H28" s="318">
        <v>45222</v>
      </c>
      <c r="I28" s="316" t="s">
        <v>458</v>
      </c>
      <c r="J28" s="316" t="s">
        <v>458</v>
      </c>
      <c r="K28" s="318">
        <v>45222</v>
      </c>
      <c r="L28" s="316" t="s">
        <v>56</v>
      </c>
      <c r="M28" s="316" t="s">
        <v>115</v>
      </c>
      <c r="N28" s="316" t="s">
        <v>514</v>
      </c>
      <c r="O28" s="316" t="s">
        <v>71</v>
      </c>
      <c r="P28" s="316" t="s">
        <v>515</v>
      </c>
      <c r="Q28" s="317" t="s">
        <v>458</v>
      </c>
      <c r="R28" s="318">
        <v>45222</v>
      </c>
      <c r="S28" s="316" t="s">
        <v>482</v>
      </c>
      <c r="T28" s="316" t="s">
        <v>478</v>
      </c>
    </row>
    <row r="29" spans="1:20" ht="15" customHeight="1" x14ac:dyDescent="0.45">
      <c r="A29" s="320">
        <v>2793</v>
      </c>
      <c r="B29" s="316" t="s">
        <v>516</v>
      </c>
      <c r="C29" s="316" t="s">
        <v>53</v>
      </c>
      <c r="D29" s="316" t="s">
        <v>509</v>
      </c>
      <c r="E29" s="317" t="s">
        <v>458</v>
      </c>
      <c r="F29" s="318">
        <v>36489</v>
      </c>
      <c r="G29" s="316" t="s">
        <v>458</v>
      </c>
      <c r="H29" s="318">
        <v>45495</v>
      </c>
      <c r="I29" s="316" t="s">
        <v>458</v>
      </c>
      <c r="J29" s="316" t="s">
        <v>458</v>
      </c>
      <c r="K29" s="318">
        <v>45313</v>
      </c>
      <c r="L29" s="316" t="s">
        <v>48</v>
      </c>
      <c r="M29" s="316" t="s">
        <v>110</v>
      </c>
      <c r="N29" s="316" t="s">
        <v>511</v>
      </c>
      <c r="O29" s="316" t="s">
        <v>51</v>
      </c>
      <c r="P29" s="316" t="s">
        <v>468</v>
      </c>
      <c r="Q29" s="317" t="s">
        <v>458</v>
      </c>
      <c r="R29" s="318">
        <v>45495</v>
      </c>
      <c r="S29" s="316" t="s">
        <v>517</v>
      </c>
      <c r="T29" s="316" t="s">
        <v>462</v>
      </c>
    </row>
    <row r="30" spans="1:20" ht="15" customHeight="1" x14ac:dyDescent="0.45">
      <c r="A30" s="320">
        <v>2794</v>
      </c>
      <c r="B30" s="316" t="s">
        <v>518</v>
      </c>
      <c r="C30" s="316" t="s">
        <v>53</v>
      </c>
      <c r="D30" s="316" t="s">
        <v>509</v>
      </c>
      <c r="E30" s="317" t="s">
        <v>458</v>
      </c>
      <c r="F30" s="318">
        <v>26320</v>
      </c>
      <c r="G30" s="316" t="s">
        <v>458</v>
      </c>
      <c r="H30" s="318">
        <v>45337</v>
      </c>
      <c r="I30" s="316" t="s">
        <v>458</v>
      </c>
      <c r="J30" s="316" t="s">
        <v>458</v>
      </c>
      <c r="K30" s="318">
        <v>45337</v>
      </c>
      <c r="L30" s="316" t="s">
        <v>63</v>
      </c>
      <c r="M30" s="316" t="s">
        <v>85</v>
      </c>
      <c r="N30" s="316" t="s">
        <v>464</v>
      </c>
      <c r="O30" s="316" t="s">
        <v>51</v>
      </c>
      <c r="P30" s="316" t="s">
        <v>465</v>
      </c>
      <c r="Q30" s="317" t="s">
        <v>458</v>
      </c>
      <c r="R30" s="318">
        <v>45337</v>
      </c>
      <c r="S30" s="316" t="s">
        <v>474</v>
      </c>
      <c r="T30" s="316" t="s">
        <v>475</v>
      </c>
    </row>
    <row r="31" spans="1:20" ht="15" customHeight="1" x14ac:dyDescent="0.45">
      <c r="A31" s="320">
        <v>2797</v>
      </c>
      <c r="B31" s="316" t="s">
        <v>519</v>
      </c>
      <c r="C31" s="316" t="s">
        <v>88</v>
      </c>
      <c r="D31" s="316" t="s">
        <v>509</v>
      </c>
      <c r="E31" s="317" t="s">
        <v>458</v>
      </c>
      <c r="F31" s="318">
        <v>26033</v>
      </c>
      <c r="G31" s="316" t="s">
        <v>458</v>
      </c>
      <c r="H31" s="318">
        <v>45460</v>
      </c>
      <c r="I31" s="316" t="s">
        <v>458</v>
      </c>
      <c r="J31" s="316" t="s">
        <v>458</v>
      </c>
      <c r="K31" s="318">
        <v>45460</v>
      </c>
      <c r="L31" s="316" t="s">
        <v>48</v>
      </c>
      <c r="M31" s="316" t="s">
        <v>121</v>
      </c>
      <c r="N31" s="316" t="s">
        <v>502</v>
      </c>
      <c r="O31" s="316" t="s">
        <v>99</v>
      </c>
      <c r="P31" s="316" t="s">
        <v>503</v>
      </c>
      <c r="Q31" s="317" t="s">
        <v>458</v>
      </c>
      <c r="R31" s="318">
        <v>45460</v>
      </c>
      <c r="S31" s="316" t="s">
        <v>498</v>
      </c>
      <c r="T31" s="316" t="s">
        <v>462</v>
      </c>
    </row>
    <row r="32" spans="1:20" ht="15" customHeight="1" x14ac:dyDescent="0.45">
      <c r="A32" s="320">
        <v>2798</v>
      </c>
      <c r="B32" s="316" t="s">
        <v>520</v>
      </c>
      <c r="C32" s="316" t="s">
        <v>53</v>
      </c>
      <c r="D32" s="316" t="s">
        <v>509</v>
      </c>
      <c r="E32" s="317" t="s">
        <v>458</v>
      </c>
      <c r="F32" s="318">
        <v>30315</v>
      </c>
      <c r="G32" s="316" t="s">
        <v>458</v>
      </c>
      <c r="H32" s="318">
        <v>45474</v>
      </c>
      <c r="I32" s="316" t="s">
        <v>458</v>
      </c>
      <c r="J32" s="316" t="s">
        <v>458</v>
      </c>
      <c r="K32" s="318">
        <v>45474</v>
      </c>
      <c r="L32" s="316" t="s">
        <v>48</v>
      </c>
      <c r="M32" s="316" t="s">
        <v>124</v>
      </c>
      <c r="N32" s="316" t="s">
        <v>480</v>
      </c>
      <c r="O32" s="316" t="s">
        <v>71</v>
      </c>
      <c r="P32" s="316" t="s">
        <v>515</v>
      </c>
      <c r="Q32" s="317" t="s">
        <v>458</v>
      </c>
      <c r="R32" s="318">
        <v>45474</v>
      </c>
      <c r="S32" s="316" t="s">
        <v>498</v>
      </c>
      <c r="T32" s="316" t="s">
        <v>462</v>
      </c>
    </row>
    <row r="33" spans="1:20" ht="15" customHeight="1" x14ac:dyDescent="0.45">
      <c r="A33" s="320">
        <v>2805</v>
      </c>
      <c r="B33" s="316" t="s">
        <v>521</v>
      </c>
      <c r="C33" s="316" t="s">
        <v>53</v>
      </c>
      <c r="D33" s="316" t="s">
        <v>509</v>
      </c>
      <c r="E33" s="317" t="s">
        <v>458</v>
      </c>
      <c r="F33" s="318">
        <v>38020</v>
      </c>
      <c r="G33" s="316" t="s">
        <v>458</v>
      </c>
      <c r="H33" s="318">
        <v>45890</v>
      </c>
      <c r="I33" s="316" t="s">
        <v>458</v>
      </c>
      <c r="J33" s="316" t="s">
        <v>458</v>
      </c>
      <c r="K33" s="318">
        <v>45890</v>
      </c>
      <c r="L33" s="316" t="s">
        <v>48</v>
      </c>
      <c r="M33" s="316" t="s">
        <v>127</v>
      </c>
      <c r="N33" s="316" t="s">
        <v>502</v>
      </c>
      <c r="O33" s="316" t="s">
        <v>99</v>
      </c>
      <c r="P33" s="316" t="s">
        <v>522</v>
      </c>
      <c r="Q33" s="316" t="s">
        <v>523</v>
      </c>
      <c r="R33" s="318">
        <v>45890</v>
      </c>
      <c r="S33" s="316" t="s">
        <v>498</v>
      </c>
      <c r="T33" s="316" t="s">
        <v>462</v>
      </c>
    </row>
    <row r="34" spans="1:20" ht="15" customHeight="1" x14ac:dyDescent="0.45">
      <c r="A34" s="320">
        <v>2806</v>
      </c>
      <c r="B34" s="316" t="s">
        <v>524</v>
      </c>
      <c r="C34" s="316" t="s">
        <v>88</v>
      </c>
      <c r="D34" s="316" t="s">
        <v>509</v>
      </c>
      <c r="E34" s="317" t="s">
        <v>458</v>
      </c>
      <c r="F34" s="318">
        <v>38216</v>
      </c>
      <c r="G34" s="316" t="s">
        <v>458</v>
      </c>
      <c r="H34" s="318">
        <v>45901</v>
      </c>
      <c r="I34" s="316" t="s">
        <v>458</v>
      </c>
      <c r="J34" s="316" t="s">
        <v>458</v>
      </c>
      <c r="K34" s="318">
        <v>45901</v>
      </c>
      <c r="L34" s="316" t="s">
        <v>48</v>
      </c>
      <c r="M34" s="316" t="s">
        <v>131</v>
      </c>
      <c r="N34" s="316" t="s">
        <v>502</v>
      </c>
      <c r="O34" s="316" t="s">
        <v>99</v>
      </c>
      <c r="P34" s="316" t="s">
        <v>525</v>
      </c>
      <c r="Q34" s="316" t="s">
        <v>523</v>
      </c>
      <c r="R34" s="318">
        <v>45901</v>
      </c>
      <c r="S34" s="316" t="s">
        <v>498</v>
      </c>
      <c r="T34" s="316" t="s">
        <v>462</v>
      </c>
    </row>
    <row r="35" spans="1:20" ht="15" customHeight="1" x14ac:dyDescent="0.45">
      <c r="A35" s="320">
        <v>2807</v>
      </c>
      <c r="B35" s="316" t="s">
        <v>526</v>
      </c>
      <c r="C35" s="316" t="s">
        <v>53</v>
      </c>
      <c r="D35" s="316" t="s">
        <v>457</v>
      </c>
      <c r="E35" s="317" t="s">
        <v>458</v>
      </c>
      <c r="F35" s="318">
        <v>27685</v>
      </c>
      <c r="G35" s="316" t="s">
        <v>458</v>
      </c>
      <c r="H35" s="318">
        <v>44515</v>
      </c>
      <c r="I35" s="316" t="s">
        <v>458</v>
      </c>
      <c r="J35" s="316" t="s">
        <v>458</v>
      </c>
      <c r="K35" s="318">
        <v>44515</v>
      </c>
      <c r="L35" s="316" t="s">
        <v>48</v>
      </c>
      <c r="M35" s="316" t="s">
        <v>85</v>
      </c>
      <c r="N35" s="316" t="s">
        <v>464</v>
      </c>
      <c r="O35" s="316" t="s">
        <v>51</v>
      </c>
      <c r="P35" s="316" t="s">
        <v>465</v>
      </c>
      <c r="Q35" s="317" t="s">
        <v>458</v>
      </c>
      <c r="R35" s="318">
        <v>45839</v>
      </c>
      <c r="S35" s="316" t="s">
        <v>488</v>
      </c>
      <c r="T35" s="317" t="s">
        <v>458</v>
      </c>
    </row>
    <row r="36" spans="1:20" ht="15" customHeight="1" x14ac:dyDescent="0.45">
      <c r="A36" s="320">
        <v>2808</v>
      </c>
      <c r="B36" s="316" t="s">
        <v>527</v>
      </c>
      <c r="C36" s="316" t="s">
        <v>88</v>
      </c>
      <c r="D36" s="316" t="s">
        <v>509</v>
      </c>
      <c r="E36" s="317" t="s">
        <v>458</v>
      </c>
      <c r="F36" s="318">
        <v>26424</v>
      </c>
      <c r="G36" s="316" t="s">
        <v>458</v>
      </c>
      <c r="H36" s="318">
        <v>45901</v>
      </c>
      <c r="I36" s="316" t="s">
        <v>458</v>
      </c>
      <c r="J36" s="316" t="s">
        <v>458</v>
      </c>
      <c r="K36" s="318">
        <v>45901</v>
      </c>
      <c r="L36" s="316" t="s">
        <v>48</v>
      </c>
      <c r="M36" s="316" t="s">
        <v>136</v>
      </c>
      <c r="N36" s="316" t="s">
        <v>528</v>
      </c>
      <c r="O36" s="316" t="s">
        <v>71</v>
      </c>
      <c r="P36" s="316" t="s">
        <v>497</v>
      </c>
      <c r="Q36" s="317" t="s">
        <v>458</v>
      </c>
      <c r="R36" s="318">
        <v>45901</v>
      </c>
      <c r="S36" s="316" t="s">
        <v>498</v>
      </c>
      <c r="T36" s="316" t="s">
        <v>462</v>
      </c>
    </row>
    <row r="37" spans="1:20" ht="15" customHeight="1" x14ac:dyDescent="0.45">
      <c r="A37" s="320">
        <v>2809</v>
      </c>
      <c r="B37" s="316" t="s">
        <v>529</v>
      </c>
      <c r="C37" s="316" t="s">
        <v>53</v>
      </c>
      <c r="D37" s="316" t="s">
        <v>509</v>
      </c>
      <c r="E37" s="317" t="s">
        <v>458</v>
      </c>
      <c r="F37" s="318">
        <v>26156</v>
      </c>
      <c r="G37" s="316" t="s">
        <v>458</v>
      </c>
      <c r="H37" s="318">
        <v>45931</v>
      </c>
      <c r="I37" s="316" t="s">
        <v>458</v>
      </c>
      <c r="J37" s="316" t="s">
        <v>458</v>
      </c>
      <c r="K37" s="318">
        <v>45931</v>
      </c>
      <c r="L37" s="316" t="s">
        <v>48</v>
      </c>
      <c r="M37" s="316" t="s">
        <v>98</v>
      </c>
      <c r="N37" s="316" t="s">
        <v>480</v>
      </c>
      <c r="O37" s="316" t="s">
        <v>71</v>
      </c>
      <c r="P37" s="316" t="s">
        <v>497</v>
      </c>
      <c r="Q37" s="317" t="s">
        <v>458</v>
      </c>
      <c r="R37" s="318">
        <v>45931</v>
      </c>
      <c r="S37" s="316" t="s">
        <v>498</v>
      </c>
      <c r="T37" s="316" t="s">
        <v>462</v>
      </c>
    </row>
    <row r="38" spans="1:20" ht="15" customHeight="1" x14ac:dyDescent="0.45"/>
  </sheetData>
  <sortState xmlns:xlrd2="http://schemas.microsoft.com/office/spreadsheetml/2017/richdata2" ref="A4:T37">
    <sortCondition ref="A3:A37"/>
  </sortState>
  <mergeCells count="1">
    <mergeCell ref="A1:T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7475-2CB0-4625-9290-4E8A00D98ACC}">
  <dimension ref="A1:AJ100"/>
  <sheetViews>
    <sheetView workbookViewId="0">
      <selection activeCell="G45" sqref="G45"/>
    </sheetView>
  </sheetViews>
  <sheetFormatPr baseColWidth="10" defaultColWidth="11" defaultRowHeight="14.25" x14ac:dyDescent="0.45"/>
  <cols>
    <col min="2" max="2" width="33.59765625" bestFit="1" customWidth="1"/>
    <col min="3" max="3" width="16.265625" bestFit="1" customWidth="1"/>
    <col min="4" max="4" width="14.86328125" bestFit="1" customWidth="1"/>
    <col min="5" max="5" width="16.3984375" bestFit="1" customWidth="1"/>
    <col min="6" max="6" width="26.265625" bestFit="1" customWidth="1"/>
    <col min="7" max="7" width="15.86328125" bestFit="1" customWidth="1"/>
    <col min="8" max="8" width="14.59765625" bestFit="1" customWidth="1"/>
    <col min="9" max="9" width="11.3984375" bestFit="1" customWidth="1"/>
    <col min="10" max="10" width="13.59765625" bestFit="1" customWidth="1"/>
    <col min="11" max="11" width="12.86328125" bestFit="1" customWidth="1"/>
    <col min="13" max="13" width="11.59765625" bestFit="1" customWidth="1"/>
    <col min="14" max="14" width="17" bestFit="1" customWidth="1"/>
    <col min="15" max="15" width="14.59765625" bestFit="1" customWidth="1"/>
    <col min="18" max="19" width="11" style="326"/>
    <col min="20" max="20" width="18.265625" bestFit="1" customWidth="1"/>
    <col min="21" max="21" width="23.265625" bestFit="1" customWidth="1"/>
    <col min="22" max="22" width="25.3984375" bestFit="1" customWidth="1"/>
    <col min="24" max="24" width="18" customWidth="1"/>
    <col min="27" max="27" width="19" customWidth="1"/>
    <col min="28" max="28" width="11" style="327"/>
    <col min="30" max="30" width="18.265625" bestFit="1" customWidth="1"/>
    <col min="31" max="31" width="24.59765625" customWidth="1"/>
    <col min="32" max="32" width="16" bestFit="1" customWidth="1"/>
  </cols>
  <sheetData>
    <row r="1" spans="1:36" x14ac:dyDescent="0.45">
      <c r="A1" s="383" t="s">
        <v>530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5"/>
      <c r="AD1" s="328" t="s">
        <v>531</v>
      </c>
      <c r="AE1" s="328" t="s">
        <v>532</v>
      </c>
      <c r="AF1" s="328" t="s">
        <v>533</v>
      </c>
      <c r="AG1" s="328" t="s">
        <v>534</v>
      </c>
      <c r="AH1" s="328" t="s">
        <v>535</v>
      </c>
      <c r="AI1" s="329" t="s">
        <v>536</v>
      </c>
      <c r="AJ1" s="329" t="s">
        <v>537</v>
      </c>
    </row>
    <row r="2" spans="1:36" x14ac:dyDescent="0.45">
      <c r="AD2" s="326" t="s">
        <v>538</v>
      </c>
      <c r="AE2" s="326" t="s">
        <v>539</v>
      </c>
      <c r="AF2" s="326" t="s">
        <v>456</v>
      </c>
      <c r="AG2" s="330">
        <v>46022</v>
      </c>
      <c r="AH2" s="326" t="s">
        <v>48</v>
      </c>
      <c r="AI2" s="331">
        <v>2200</v>
      </c>
      <c r="AJ2" s="331">
        <v>30.58</v>
      </c>
    </row>
    <row r="3" spans="1:36" x14ac:dyDescent="0.45">
      <c r="A3" s="332" t="s">
        <v>438</v>
      </c>
      <c r="B3" s="332" t="s">
        <v>439</v>
      </c>
      <c r="C3" s="332" t="s">
        <v>540</v>
      </c>
      <c r="D3" s="332" t="s">
        <v>541</v>
      </c>
      <c r="E3" s="332" t="s">
        <v>542</v>
      </c>
      <c r="F3" s="332" t="s">
        <v>543</v>
      </c>
      <c r="G3" s="332" t="s">
        <v>544</v>
      </c>
      <c r="H3" s="332" t="s">
        <v>545</v>
      </c>
      <c r="I3" s="332" t="s">
        <v>546</v>
      </c>
      <c r="J3" s="332" t="s">
        <v>547</v>
      </c>
      <c r="K3" s="332" t="s">
        <v>548</v>
      </c>
      <c r="L3" s="332" t="s">
        <v>549</v>
      </c>
      <c r="M3" s="332" t="s">
        <v>550</v>
      </c>
      <c r="N3" s="332" t="s">
        <v>551</v>
      </c>
      <c r="O3" s="332" t="s">
        <v>552</v>
      </c>
      <c r="P3" s="333" t="s">
        <v>553</v>
      </c>
      <c r="T3" s="334" t="s">
        <v>531</v>
      </c>
      <c r="U3" s="334" t="s">
        <v>532</v>
      </c>
      <c r="V3" s="334" t="s">
        <v>533</v>
      </c>
      <c r="W3" s="334" t="s">
        <v>534</v>
      </c>
      <c r="X3" s="334" t="s">
        <v>535</v>
      </c>
      <c r="Y3" s="335" t="s">
        <v>536</v>
      </c>
      <c r="Z3" s="335" t="s">
        <v>537</v>
      </c>
      <c r="AA3" s="334" t="s">
        <v>448</v>
      </c>
      <c r="AB3" s="336" t="s">
        <v>554</v>
      </c>
      <c r="AD3" s="326" t="s">
        <v>538</v>
      </c>
      <c r="AE3" s="326" t="s">
        <v>555</v>
      </c>
      <c r="AF3" s="326" t="s">
        <v>521</v>
      </c>
      <c r="AG3" s="330">
        <v>46022</v>
      </c>
      <c r="AH3" s="326" t="s">
        <v>48</v>
      </c>
      <c r="AI3" s="331">
        <v>1010.72</v>
      </c>
      <c r="AJ3" s="331">
        <v>6.59</v>
      </c>
    </row>
    <row r="4" spans="1:36" x14ac:dyDescent="0.45">
      <c r="A4" s="337" t="s">
        <v>556</v>
      </c>
      <c r="B4" s="337" t="s">
        <v>500</v>
      </c>
      <c r="C4" s="337" t="s">
        <v>538</v>
      </c>
      <c r="D4" s="337" t="s">
        <v>63</v>
      </c>
      <c r="E4" s="337" t="s">
        <v>474</v>
      </c>
      <c r="F4" s="338">
        <v>2335.63</v>
      </c>
      <c r="G4" s="338">
        <v>3151.19</v>
      </c>
      <c r="H4" s="338">
        <v>25</v>
      </c>
      <c r="I4" s="338">
        <v>25</v>
      </c>
      <c r="J4" s="338">
        <v>0</v>
      </c>
      <c r="K4" s="338">
        <v>14.58</v>
      </c>
      <c r="L4" s="338">
        <v>7.5</v>
      </c>
      <c r="M4" s="338">
        <v>7.08</v>
      </c>
      <c r="N4" s="338">
        <v>0</v>
      </c>
      <c r="O4" s="338">
        <v>1038.1500000000001</v>
      </c>
      <c r="P4" s="339">
        <f>+J4+M4</f>
        <v>7.08</v>
      </c>
      <c r="T4" t="str">
        <f>+C4</f>
        <v>FATTON AND CO</v>
      </c>
      <c r="U4" t="str">
        <f>+A4</f>
        <v>00083</v>
      </c>
      <c r="V4" t="str">
        <f>+B4</f>
        <v>ABDOULKARIM Amir</v>
      </c>
      <c r="W4" s="340">
        <v>46022</v>
      </c>
      <c r="X4" t="str">
        <f>+D4</f>
        <v>ROGNAC</v>
      </c>
      <c r="Y4" s="339">
        <f>+F4</f>
        <v>2335.63</v>
      </c>
      <c r="Z4" s="339">
        <f>+J4+M4</f>
        <v>7.08</v>
      </c>
      <c r="AA4" t="str">
        <f t="shared" ref="AA4:AA35" si="0">VLOOKUP(V4,base,12,FALSE)</f>
        <v>Conducteur PL</v>
      </c>
      <c r="AB4" s="327">
        <f t="shared" ref="AB4:AB35" si="1">VLOOKUP(V4,base,10,FALSE)</f>
        <v>44446</v>
      </c>
      <c r="AD4" s="326" t="s">
        <v>538</v>
      </c>
      <c r="AE4" s="326" t="s">
        <v>557</v>
      </c>
      <c r="AF4" s="326" t="s">
        <v>519</v>
      </c>
      <c r="AG4" s="330">
        <v>46022</v>
      </c>
      <c r="AH4" s="326" t="s">
        <v>48</v>
      </c>
      <c r="AI4" s="331">
        <v>2500</v>
      </c>
      <c r="AJ4" s="331">
        <v>8.08</v>
      </c>
    </row>
    <row r="5" spans="1:36" x14ac:dyDescent="0.45">
      <c r="A5" s="337" t="s">
        <v>558</v>
      </c>
      <c r="B5" s="337" t="s">
        <v>504</v>
      </c>
      <c r="C5" s="337" t="s">
        <v>538</v>
      </c>
      <c r="D5" s="337" t="s">
        <v>63</v>
      </c>
      <c r="E5" s="337" t="s">
        <v>474</v>
      </c>
      <c r="F5" s="338">
        <v>2165.63</v>
      </c>
      <c r="G5" s="338">
        <v>2751.22</v>
      </c>
      <c r="H5" s="338">
        <v>25</v>
      </c>
      <c r="I5" s="338">
        <v>25</v>
      </c>
      <c r="J5" s="338">
        <v>0</v>
      </c>
      <c r="K5" s="338">
        <v>14.58</v>
      </c>
      <c r="L5" s="338">
        <v>8</v>
      </c>
      <c r="M5" s="338">
        <v>6.58</v>
      </c>
      <c r="N5" s="338">
        <v>0</v>
      </c>
      <c r="O5" s="338">
        <v>889.17</v>
      </c>
      <c r="P5" s="339">
        <f t="shared" ref="P5:P40" si="2">+J5+M5</f>
        <v>6.58</v>
      </c>
      <c r="T5" t="str">
        <f t="shared" ref="T5:T55" si="3">+C5</f>
        <v>FATTON AND CO</v>
      </c>
      <c r="U5" t="str">
        <f t="shared" ref="U5:V40" si="4">+A5</f>
        <v>02773</v>
      </c>
      <c r="V5" t="str">
        <f t="shared" si="4"/>
        <v>ALI Nassuf</v>
      </c>
      <c r="W5" s="340">
        <v>46022</v>
      </c>
      <c r="X5" t="str">
        <f t="shared" ref="X5:X55" si="5">+D5</f>
        <v>ROGNAC</v>
      </c>
      <c r="Y5" s="339">
        <f t="shared" ref="Y5:Y55" si="6">+F5</f>
        <v>2165.63</v>
      </c>
      <c r="Z5" s="339">
        <f t="shared" ref="Z5:Z55" si="7">+J5+M5</f>
        <v>6.58</v>
      </c>
      <c r="AA5" t="str">
        <f t="shared" si="0"/>
        <v>Conducteur PL</v>
      </c>
      <c r="AB5" s="327">
        <f t="shared" si="1"/>
        <v>44473</v>
      </c>
      <c r="AD5" s="326" t="s">
        <v>538</v>
      </c>
      <c r="AE5" s="326" t="s">
        <v>559</v>
      </c>
      <c r="AF5" s="326" t="s">
        <v>510</v>
      </c>
      <c r="AG5" s="330">
        <v>46022</v>
      </c>
      <c r="AH5" s="326" t="s">
        <v>48</v>
      </c>
      <c r="AI5" s="331">
        <v>2425.5</v>
      </c>
      <c r="AJ5" s="331">
        <v>18.579999999999998</v>
      </c>
    </row>
    <row r="6" spans="1:36" x14ac:dyDescent="0.45">
      <c r="A6" s="337" t="s">
        <v>560</v>
      </c>
      <c r="B6" s="337" t="s">
        <v>512</v>
      </c>
      <c r="C6" s="337" t="s">
        <v>538</v>
      </c>
      <c r="D6" s="337" t="s">
        <v>56</v>
      </c>
      <c r="E6" s="337" t="s">
        <v>477</v>
      </c>
      <c r="F6" s="338">
        <v>2145.3200000000002</v>
      </c>
      <c r="G6" s="338">
        <v>2295.41</v>
      </c>
      <c r="H6" s="338">
        <v>25</v>
      </c>
      <c r="I6" s="338">
        <v>25</v>
      </c>
      <c r="J6" s="338">
        <v>0</v>
      </c>
      <c r="K6" s="338">
        <v>14.58</v>
      </c>
      <c r="L6" s="338">
        <v>5</v>
      </c>
      <c r="M6" s="338">
        <v>9.58</v>
      </c>
      <c r="N6" s="338">
        <v>0</v>
      </c>
      <c r="O6" s="338">
        <v>1083.43</v>
      </c>
      <c r="P6" s="339">
        <f t="shared" si="2"/>
        <v>9.58</v>
      </c>
      <c r="T6" t="str">
        <f t="shared" si="3"/>
        <v>FATTON AND CO</v>
      </c>
      <c r="U6" t="str">
        <f t="shared" si="4"/>
        <v>02791</v>
      </c>
      <c r="V6" t="str">
        <f t="shared" si="4"/>
        <v>AZCUE Georges</v>
      </c>
      <c r="W6" s="340">
        <v>46022</v>
      </c>
      <c r="X6" t="str">
        <f t="shared" si="5"/>
        <v>VALENCE</v>
      </c>
      <c r="Y6" s="339">
        <f t="shared" si="6"/>
        <v>2145.3200000000002</v>
      </c>
      <c r="Z6" s="339">
        <f t="shared" si="7"/>
        <v>9.58</v>
      </c>
      <c r="AA6" t="str">
        <f t="shared" si="0"/>
        <v>Conducteur PL</v>
      </c>
      <c r="AB6" s="327">
        <f t="shared" si="1"/>
        <v>45208</v>
      </c>
      <c r="AD6" s="326" t="s">
        <v>538</v>
      </c>
      <c r="AE6" s="326" t="s">
        <v>561</v>
      </c>
      <c r="AF6" s="326" t="s">
        <v>524</v>
      </c>
      <c r="AG6" s="330">
        <v>46022</v>
      </c>
      <c r="AH6" s="326" t="s">
        <v>48</v>
      </c>
      <c r="AI6" s="331">
        <v>1010.72</v>
      </c>
      <c r="AJ6" s="331">
        <v>6.32</v>
      </c>
    </row>
    <row r="7" spans="1:36" x14ac:dyDescent="0.45">
      <c r="A7" s="337" t="s">
        <v>539</v>
      </c>
      <c r="B7" s="337" t="s">
        <v>456</v>
      </c>
      <c r="C7" s="337" t="s">
        <v>538</v>
      </c>
      <c r="D7" s="337" t="s">
        <v>48</v>
      </c>
      <c r="E7" s="337" t="s">
        <v>461</v>
      </c>
      <c r="F7" s="338">
        <v>2200</v>
      </c>
      <c r="G7" s="338">
        <v>2320.54</v>
      </c>
      <c r="H7" s="338">
        <v>33</v>
      </c>
      <c r="I7" s="338">
        <v>17</v>
      </c>
      <c r="J7" s="338">
        <v>16</v>
      </c>
      <c r="K7" s="338">
        <v>14.58</v>
      </c>
      <c r="L7" s="338">
        <v>0</v>
      </c>
      <c r="M7" s="338">
        <v>14.58</v>
      </c>
      <c r="N7" s="338">
        <v>1624.65</v>
      </c>
      <c r="O7" s="338">
        <v>1599.07</v>
      </c>
      <c r="P7" s="339">
        <f t="shared" si="2"/>
        <v>30.58</v>
      </c>
      <c r="T7" t="str">
        <f t="shared" si="3"/>
        <v>FATTON AND CO</v>
      </c>
      <c r="U7" t="str">
        <f t="shared" si="4"/>
        <v>00003</v>
      </c>
      <c r="V7" t="str">
        <f t="shared" si="4"/>
        <v>BASTARD Gilles</v>
      </c>
      <c r="W7" s="340">
        <v>46022</v>
      </c>
      <c r="X7" t="str">
        <f t="shared" si="5"/>
        <v>PUSIGNAN</v>
      </c>
      <c r="Y7" s="339">
        <f t="shared" si="6"/>
        <v>2200</v>
      </c>
      <c r="Z7" s="339">
        <f t="shared" si="7"/>
        <v>30.58</v>
      </c>
      <c r="AA7" t="str">
        <f t="shared" si="0"/>
        <v>Manutentionnaire</v>
      </c>
      <c r="AB7" s="327">
        <f t="shared" si="1"/>
        <v>39153</v>
      </c>
      <c r="AD7" s="326" t="s">
        <v>538</v>
      </c>
      <c r="AE7" s="326" t="s">
        <v>562</v>
      </c>
      <c r="AF7" s="326" t="s">
        <v>467</v>
      </c>
      <c r="AG7" s="330">
        <v>46022</v>
      </c>
      <c r="AH7" s="326" t="s">
        <v>48</v>
      </c>
      <c r="AI7" s="331">
        <v>2687.99</v>
      </c>
      <c r="AJ7" s="331">
        <v>57.08</v>
      </c>
    </row>
    <row r="8" spans="1:36" x14ac:dyDescent="0.45">
      <c r="A8" s="337" t="s">
        <v>563</v>
      </c>
      <c r="B8" s="337" t="s">
        <v>493</v>
      </c>
      <c r="C8" s="337" t="s">
        <v>538</v>
      </c>
      <c r="D8" s="337" t="s">
        <v>56</v>
      </c>
      <c r="E8" s="337" t="s">
        <v>466</v>
      </c>
      <c r="F8" s="338">
        <v>2239.63</v>
      </c>
      <c r="G8" s="338">
        <v>2668.64</v>
      </c>
      <c r="H8" s="338">
        <v>25</v>
      </c>
      <c r="I8" s="338">
        <v>24</v>
      </c>
      <c r="J8" s="338">
        <v>1</v>
      </c>
      <c r="K8" s="338">
        <v>14.58</v>
      </c>
      <c r="L8" s="338">
        <v>0</v>
      </c>
      <c r="M8" s="338">
        <v>14.58</v>
      </c>
      <c r="N8" s="338">
        <v>140.44</v>
      </c>
      <c r="O8" s="338">
        <v>1953.98</v>
      </c>
      <c r="P8" s="339">
        <f>+J8+M8</f>
        <v>15.58</v>
      </c>
      <c r="T8" t="str">
        <f t="shared" si="3"/>
        <v>FATTON AND CO</v>
      </c>
      <c r="U8" t="str">
        <f t="shared" si="4"/>
        <v>00070</v>
      </c>
      <c r="V8" t="str">
        <f t="shared" si="4"/>
        <v>BEN HASSINE Sami</v>
      </c>
      <c r="W8" s="340">
        <v>46022</v>
      </c>
      <c r="X8" t="str">
        <f t="shared" si="5"/>
        <v>VALENCE</v>
      </c>
      <c r="Y8" s="339">
        <f t="shared" si="6"/>
        <v>2239.63</v>
      </c>
      <c r="Z8" s="339">
        <f t="shared" si="7"/>
        <v>15.58</v>
      </c>
      <c r="AA8" t="str">
        <f t="shared" si="0"/>
        <v>Conducteur PL</v>
      </c>
      <c r="AB8" s="327">
        <f t="shared" si="1"/>
        <v>43710</v>
      </c>
      <c r="AD8" s="326" t="s">
        <v>538</v>
      </c>
      <c r="AE8" s="326" t="s">
        <v>564</v>
      </c>
      <c r="AF8" s="326" t="s">
        <v>516</v>
      </c>
      <c r="AG8" s="330">
        <v>46022</v>
      </c>
      <c r="AH8" s="326" t="s">
        <v>48</v>
      </c>
      <c r="AI8" s="331">
        <v>2400</v>
      </c>
      <c r="AJ8" s="331">
        <v>10.08</v>
      </c>
    </row>
    <row r="9" spans="1:36" x14ac:dyDescent="0.45">
      <c r="A9" s="337" t="s">
        <v>565</v>
      </c>
      <c r="B9" s="337" t="s">
        <v>476</v>
      </c>
      <c r="C9" s="337" t="s">
        <v>538</v>
      </c>
      <c r="D9" s="337" t="s">
        <v>56</v>
      </c>
      <c r="E9" s="337" t="s">
        <v>477</v>
      </c>
      <c r="F9" s="338">
        <v>2892.96</v>
      </c>
      <c r="G9" s="338">
        <v>3110.06</v>
      </c>
      <c r="H9" s="338">
        <v>25</v>
      </c>
      <c r="I9" s="338">
        <v>22</v>
      </c>
      <c r="J9" s="338">
        <v>3</v>
      </c>
      <c r="K9" s="338">
        <v>14.58</v>
      </c>
      <c r="L9" s="338">
        <v>0</v>
      </c>
      <c r="M9" s="338">
        <v>14.58</v>
      </c>
      <c r="N9" s="338">
        <v>446.23</v>
      </c>
      <c r="O9" s="338">
        <v>2170.66</v>
      </c>
      <c r="P9" s="339">
        <f t="shared" si="2"/>
        <v>17.579999999999998</v>
      </c>
      <c r="T9" t="str">
        <f t="shared" si="3"/>
        <v>FATTON AND CO</v>
      </c>
      <c r="U9" t="str">
        <f t="shared" si="4"/>
        <v>00028</v>
      </c>
      <c r="V9" t="str">
        <f t="shared" si="4"/>
        <v>BENSID AHMED Ali</v>
      </c>
      <c r="W9" s="340">
        <v>46022</v>
      </c>
      <c r="X9" t="str">
        <f t="shared" si="5"/>
        <v>VALENCE</v>
      </c>
      <c r="Y9" s="339">
        <f t="shared" si="6"/>
        <v>2892.96</v>
      </c>
      <c r="Z9" s="339">
        <f t="shared" si="7"/>
        <v>17.579999999999998</v>
      </c>
      <c r="AA9" t="str">
        <f t="shared" si="0"/>
        <v>Chauffeur PL</v>
      </c>
      <c r="AB9" s="327">
        <f t="shared" si="1"/>
        <v>39301</v>
      </c>
      <c r="AD9" s="326" t="s">
        <v>538</v>
      </c>
      <c r="AE9" s="326" t="s">
        <v>566</v>
      </c>
      <c r="AF9" s="326" t="s">
        <v>529</v>
      </c>
      <c r="AG9" s="330">
        <v>46022</v>
      </c>
      <c r="AH9" s="326" t="s">
        <v>48</v>
      </c>
      <c r="AI9" s="331">
        <v>3000</v>
      </c>
      <c r="AJ9" s="331">
        <v>5.25</v>
      </c>
    </row>
    <row r="10" spans="1:36" x14ac:dyDescent="0.45">
      <c r="A10" s="337" t="s">
        <v>567</v>
      </c>
      <c r="B10" s="337" t="s">
        <v>505</v>
      </c>
      <c r="C10" s="337" t="s">
        <v>538</v>
      </c>
      <c r="D10" s="337" t="s">
        <v>56</v>
      </c>
      <c r="E10" s="337" t="s">
        <v>477</v>
      </c>
      <c r="F10" s="338">
        <v>2145.3200000000002</v>
      </c>
      <c r="G10" s="338">
        <v>2453.29</v>
      </c>
      <c r="H10" s="338">
        <v>25</v>
      </c>
      <c r="I10" s="338">
        <v>15</v>
      </c>
      <c r="J10" s="338">
        <v>10</v>
      </c>
      <c r="K10" s="338">
        <v>14.58</v>
      </c>
      <c r="L10" s="338">
        <v>0</v>
      </c>
      <c r="M10" s="338">
        <v>14.58</v>
      </c>
      <c r="N10" s="338">
        <v>1251.49</v>
      </c>
      <c r="O10" s="338">
        <v>1838.41</v>
      </c>
      <c r="P10" s="339">
        <f t="shared" si="2"/>
        <v>24.58</v>
      </c>
      <c r="T10" t="str">
        <f t="shared" si="3"/>
        <v>FATTON AND CO</v>
      </c>
      <c r="U10" t="str">
        <f t="shared" si="4"/>
        <v>02774</v>
      </c>
      <c r="V10" t="str">
        <f t="shared" si="4"/>
        <v>BOUDALI Ouari</v>
      </c>
      <c r="W10" s="340">
        <v>46022</v>
      </c>
      <c r="X10" t="str">
        <f t="shared" si="5"/>
        <v>VALENCE</v>
      </c>
      <c r="Y10" s="339">
        <f t="shared" si="6"/>
        <v>2145.3200000000002</v>
      </c>
      <c r="Z10" s="339">
        <f t="shared" si="7"/>
        <v>24.58</v>
      </c>
      <c r="AA10" t="str">
        <f t="shared" si="0"/>
        <v>Conducteur PL</v>
      </c>
      <c r="AB10" s="327">
        <f t="shared" si="1"/>
        <v>44480</v>
      </c>
      <c r="AD10" s="326" t="s">
        <v>538</v>
      </c>
      <c r="AE10" s="326" t="s">
        <v>568</v>
      </c>
      <c r="AF10" s="326" t="s">
        <v>487</v>
      </c>
      <c r="AG10" s="330">
        <v>46022</v>
      </c>
      <c r="AH10" s="326" t="s">
        <v>48</v>
      </c>
      <c r="AI10" s="331">
        <v>2239.63</v>
      </c>
      <c r="AJ10" s="331">
        <v>32.22</v>
      </c>
    </row>
    <row r="11" spans="1:36" x14ac:dyDescent="0.45">
      <c r="A11" s="337" t="s">
        <v>555</v>
      </c>
      <c r="B11" s="337" t="s">
        <v>521</v>
      </c>
      <c r="C11" s="337" t="s">
        <v>538</v>
      </c>
      <c r="D11" s="337" t="s">
        <v>48</v>
      </c>
      <c r="E11" s="337" t="s">
        <v>498</v>
      </c>
      <c r="F11" s="338">
        <v>1010.72</v>
      </c>
      <c r="G11" s="338">
        <v>1010.72</v>
      </c>
      <c r="H11" s="338">
        <v>0</v>
      </c>
      <c r="I11" s="338">
        <v>0</v>
      </c>
      <c r="J11" s="338">
        <v>0</v>
      </c>
      <c r="K11" s="338">
        <v>9.09</v>
      </c>
      <c r="L11" s="338">
        <v>2.5</v>
      </c>
      <c r="M11" s="338">
        <v>6.59</v>
      </c>
      <c r="N11" s="338">
        <v>0</v>
      </c>
      <c r="O11" s="338">
        <v>319.17</v>
      </c>
      <c r="P11" s="339">
        <f t="shared" si="2"/>
        <v>6.59</v>
      </c>
      <c r="T11" t="str">
        <f t="shared" si="3"/>
        <v>FATTON AND CO</v>
      </c>
      <c r="U11" t="str">
        <f t="shared" si="4"/>
        <v>02805</v>
      </c>
      <c r="V11" t="str">
        <f t="shared" si="4"/>
        <v>BOUDRAA Khalid</v>
      </c>
      <c r="W11" s="340">
        <v>46022</v>
      </c>
      <c r="X11" t="str">
        <f t="shared" si="5"/>
        <v>PUSIGNAN</v>
      </c>
      <c r="Y11" s="339">
        <f t="shared" si="6"/>
        <v>1010.72</v>
      </c>
      <c r="Z11" s="339">
        <f t="shared" si="7"/>
        <v>6.59</v>
      </c>
      <c r="AA11" t="str">
        <f t="shared" si="0"/>
        <v>Assistant exploitation</v>
      </c>
      <c r="AB11" s="327">
        <f t="shared" si="1"/>
        <v>45890</v>
      </c>
      <c r="AD11" s="326" t="s">
        <v>538</v>
      </c>
      <c r="AE11" s="326" t="s">
        <v>569</v>
      </c>
      <c r="AF11" s="326" t="s">
        <v>496</v>
      </c>
      <c r="AG11" s="330">
        <v>46022</v>
      </c>
      <c r="AH11" s="326" t="s">
        <v>48</v>
      </c>
      <c r="AI11" s="331">
        <v>3200</v>
      </c>
      <c r="AJ11" s="331">
        <v>35.58</v>
      </c>
    </row>
    <row r="12" spans="1:36" x14ac:dyDescent="0.45">
      <c r="A12" s="337" t="s">
        <v>570</v>
      </c>
      <c r="B12" s="337" t="s">
        <v>479</v>
      </c>
      <c r="C12" s="337" t="s">
        <v>538</v>
      </c>
      <c r="D12" s="337" t="s">
        <v>56</v>
      </c>
      <c r="E12" s="337" t="s">
        <v>482</v>
      </c>
      <c r="F12" s="338">
        <v>3250</v>
      </c>
      <c r="G12" s="338">
        <v>1857.14</v>
      </c>
      <c r="H12" s="338">
        <v>42.5</v>
      </c>
      <c r="I12" s="338">
        <v>4</v>
      </c>
      <c r="J12" s="338">
        <v>38.5</v>
      </c>
      <c r="K12" s="338">
        <v>13.08</v>
      </c>
      <c r="L12" s="338">
        <v>0</v>
      </c>
      <c r="M12" s="338">
        <v>13.08</v>
      </c>
      <c r="N12" s="338">
        <v>5774.11</v>
      </c>
      <c r="O12" s="338">
        <v>1961.68</v>
      </c>
      <c r="P12" s="339">
        <f t="shared" si="2"/>
        <v>51.58</v>
      </c>
      <c r="T12" t="str">
        <f t="shared" si="3"/>
        <v>FATTON AND CO</v>
      </c>
      <c r="U12" t="str">
        <f t="shared" si="4"/>
        <v>00031</v>
      </c>
      <c r="V12" t="str">
        <f t="shared" si="4"/>
        <v>BOULAKHSOUMI Mostafa</v>
      </c>
      <c r="W12" s="340">
        <v>46022</v>
      </c>
      <c r="X12" t="str">
        <f t="shared" si="5"/>
        <v>VALENCE</v>
      </c>
      <c r="Y12" s="339">
        <f t="shared" si="6"/>
        <v>3250</v>
      </c>
      <c r="Z12" s="339">
        <f t="shared" si="7"/>
        <v>51.58</v>
      </c>
      <c r="AA12" t="str">
        <f t="shared" si="0"/>
        <v>Resp Exploitation</v>
      </c>
      <c r="AB12" s="327">
        <f t="shared" si="1"/>
        <v>42107</v>
      </c>
      <c r="AD12" s="326" t="s">
        <v>538</v>
      </c>
      <c r="AE12" s="326" t="s">
        <v>571</v>
      </c>
      <c r="AF12" s="326" t="s">
        <v>526</v>
      </c>
      <c r="AG12" s="330">
        <v>46022</v>
      </c>
      <c r="AH12" s="326" t="s">
        <v>48</v>
      </c>
      <c r="AI12" s="331">
        <v>2252.25</v>
      </c>
      <c r="AJ12" s="331">
        <v>11.09</v>
      </c>
    </row>
    <row r="13" spans="1:36" x14ac:dyDescent="0.45">
      <c r="A13" s="337" t="s">
        <v>557</v>
      </c>
      <c r="B13" s="337" t="s">
        <v>519</v>
      </c>
      <c r="C13" s="337" t="s">
        <v>538</v>
      </c>
      <c r="D13" s="337" t="s">
        <v>48</v>
      </c>
      <c r="E13" s="337" t="s">
        <v>498</v>
      </c>
      <c r="F13" s="338">
        <v>2500</v>
      </c>
      <c r="G13" s="338">
        <v>2500</v>
      </c>
      <c r="H13" s="338">
        <v>25</v>
      </c>
      <c r="I13" s="338">
        <v>25</v>
      </c>
      <c r="J13" s="338">
        <v>0</v>
      </c>
      <c r="K13" s="338">
        <v>14.58</v>
      </c>
      <c r="L13" s="338">
        <v>6.5</v>
      </c>
      <c r="M13" s="338">
        <v>8.08</v>
      </c>
      <c r="N13" s="338">
        <v>0</v>
      </c>
      <c r="O13" s="338">
        <v>969.99</v>
      </c>
      <c r="P13" s="339">
        <f t="shared" si="2"/>
        <v>8.08</v>
      </c>
      <c r="T13" t="str">
        <f t="shared" si="3"/>
        <v>FATTON AND CO</v>
      </c>
      <c r="U13" t="str">
        <f t="shared" si="4"/>
        <v>02797</v>
      </c>
      <c r="V13" t="str">
        <f t="shared" si="4"/>
        <v>BUJNOWSKYJ Sandrine née MOREL</v>
      </c>
      <c r="W13" s="340">
        <v>46022</v>
      </c>
      <c r="X13" t="str">
        <f t="shared" si="5"/>
        <v>PUSIGNAN</v>
      </c>
      <c r="Y13" s="339">
        <f t="shared" si="6"/>
        <v>2500</v>
      </c>
      <c r="Z13" s="339">
        <f t="shared" si="7"/>
        <v>8.08</v>
      </c>
      <c r="AA13" t="str">
        <f t="shared" si="0"/>
        <v>Assistante exploitation</v>
      </c>
      <c r="AB13" s="327">
        <f t="shared" si="1"/>
        <v>45460</v>
      </c>
      <c r="AD13" s="326" t="s">
        <v>538</v>
      </c>
      <c r="AE13" s="326" t="s">
        <v>572</v>
      </c>
      <c r="AF13" s="326" t="s">
        <v>520</v>
      </c>
      <c r="AG13" s="330">
        <v>46022</v>
      </c>
      <c r="AH13" s="326" t="s">
        <v>48</v>
      </c>
      <c r="AI13" s="331">
        <v>3527</v>
      </c>
      <c r="AJ13" s="331">
        <v>14.58</v>
      </c>
    </row>
    <row r="14" spans="1:36" x14ac:dyDescent="0.45">
      <c r="A14" s="337" t="s">
        <v>559</v>
      </c>
      <c r="B14" s="337" t="s">
        <v>510</v>
      </c>
      <c r="C14" s="337" t="s">
        <v>538</v>
      </c>
      <c r="D14" s="337" t="s">
        <v>48</v>
      </c>
      <c r="E14" s="337" t="s">
        <v>461</v>
      </c>
      <c r="F14" s="338">
        <v>2425.5</v>
      </c>
      <c r="G14" s="338">
        <v>2836.9</v>
      </c>
      <c r="H14" s="338">
        <v>26</v>
      </c>
      <c r="I14" s="338">
        <v>22</v>
      </c>
      <c r="J14" s="338">
        <v>4</v>
      </c>
      <c r="K14" s="338">
        <v>14.58</v>
      </c>
      <c r="L14" s="338">
        <v>0</v>
      </c>
      <c r="M14" s="338">
        <v>14.58</v>
      </c>
      <c r="N14" s="338">
        <v>527.05999999999995</v>
      </c>
      <c r="O14" s="338">
        <v>1981.57</v>
      </c>
      <c r="P14" s="339">
        <f t="shared" si="2"/>
        <v>18.579999999999998</v>
      </c>
      <c r="T14" t="str">
        <f t="shared" si="3"/>
        <v>FATTON AND CO</v>
      </c>
      <c r="U14" t="str">
        <f t="shared" si="4"/>
        <v>02789</v>
      </c>
      <c r="V14" t="str">
        <f t="shared" si="4"/>
        <v>DJEBBAR Fettah</v>
      </c>
      <c r="W14" s="340">
        <v>46022</v>
      </c>
      <c r="X14" t="str">
        <f t="shared" si="5"/>
        <v>PUSIGNAN</v>
      </c>
      <c r="Y14" s="339">
        <f t="shared" si="6"/>
        <v>2425.5</v>
      </c>
      <c r="Z14" s="339">
        <f t="shared" si="7"/>
        <v>18.579999999999998</v>
      </c>
      <c r="AA14" t="str">
        <f t="shared" si="0"/>
        <v>Chef de quai</v>
      </c>
      <c r="AB14" s="327">
        <f t="shared" si="1"/>
        <v>45201</v>
      </c>
      <c r="AD14" s="326" t="s">
        <v>538</v>
      </c>
      <c r="AE14" s="326" t="s">
        <v>573</v>
      </c>
      <c r="AF14" s="326" t="s">
        <v>527</v>
      </c>
      <c r="AG14" s="330">
        <v>46022</v>
      </c>
      <c r="AH14" s="326" t="s">
        <v>48</v>
      </c>
      <c r="AI14" s="331">
        <v>2800</v>
      </c>
      <c r="AJ14" s="331">
        <v>7.26</v>
      </c>
    </row>
    <row r="15" spans="1:36" x14ac:dyDescent="0.45">
      <c r="A15" s="337" t="s">
        <v>574</v>
      </c>
      <c r="B15" s="337" t="s">
        <v>506</v>
      </c>
      <c r="C15" s="337" t="s">
        <v>538</v>
      </c>
      <c r="D15" s="337" t="s">
        <v>63</v>
      </c>
      <c r="E15" s="337" t="s">
        <v>471</v>
      </c>
      <c r="F15" s="338">
        <v>2303.2600000000002</v>
      </c>
      <c r="G15" s="338">
        <v>2172.17</v>
      </c>
      <c r="H15" s="338">
        <v>25</v>
      </c>
      <c r="I15" s="338">
        <v>25</v>
      </c>
      <c r="J15" s="338">
        <v>0</v>
      </c>
      <c r="K15" s="338">
        <v>14.58</v>
      </c>
      <c r="L15" s="338">
        <v>14.5</v>
      </c>
      <c r="M15" s="338">
        <v>0.08</v>
      </c>
      <c r="N15" s="338">
        <v>0</v>
      </c>
      <c r="O15" s="338">
        <v>9.35</v>
      </c>
      <c r="P15" s="339">
        <f t="shared" si="2"/>
        <v>0.08</v>
      </c>
      <c r="T15" t="str">
        <f t="shared" si="3"/>
        <v>FATTON AND CO</v>
      </c>
      <c r="U15" t="str">
        <f t="shared" si="4"/>
        <v>02782</v>
      </c>
      <c r="V15" t="str">
        <f t="shared" si="4"/>
        <v>DUMIOT Julien</v>
      </c>
      <c r="W15" s="340">
        <v>46022</v>
      </c>
      <c r="X15" t="str">
        <f t="shared" si="5"/>
        <v>ROGNAC</v>
      </c>
      <c r="Y15" s="339">
        <f t="shared" si="6"/>
        <v>2303.2600000000002</v>
      </c>
      <c r="Z15" s="339">
        <f t="shared" si="7"/>
        <v>0.08</v>
      </c>
      <c r="AA15" t="str">
        <f t="shared" si="0"/>
        <v>Conducteur PL</v>
      </c>
      <c r="AB15" s="327">
        <f t="shared" si="1"/>
        <v>44867</v>
      </c>
      <c r="AD15" s="326" t="s">
        <v>538</v>
      </c>
      <c r="AE15" s="326" t="s">
        <v>575</v>
      </c>
      <c r="AF15" s="326" t="s">
        <v>576</v>
      </c>
      <c r="AG15" s="330">
        <v>46022</v>
      </c>
      <c r="AH15" s="326" t="s">
        <v>48</v>
      </c>
      <c r="AI15" s="331">
        <v>1984.69</v>
      </c>
      <c r="AJ15" s="331">
        <v>0</v>
      </c>
    </row>
    <row r="16" spans="1:36" x14ac:dyDescent="0.45">
      <c r="A16" s="337" t="s">
        <v>577</v>
      </c>
      <c r="B16" s="337" t="s">
        <v>508</v>
      </c>
      <c r="C16" s="337" t="s">
        <v>538</v>
      </c>
      <c r="D16" s="337" t="s">
        <v>56</v>
      </c>
      <c r="E16" s="337" t="s">
        <v>477</v>
      </c>
      <c r="F16" s="338">
        <v>2145.3200000000002</v>
      </c>
      <c r="G16" s="338">
        <v>2288.84</v>
      </c>
      <c r="H16" s="338">
        <v>25</v>
      </c>
      <c r="I16" s="338">
        <v>25</v>
      </c>
      <c r="J16" s="338">
        <v>0</v>
      </c>
      <c r="K16" s="338">
        <v>14.58</v>
      </c>
      <c r="L16" s="338">
        <v>19</v>
      </c>
      <c r="M16" s="338">
        <v>-4.42</v>
      </c>
      <c r="N16" s="338">
        <v>0</v>
      </c>
      <c r="O16" s="338">
        <v>-437.27</v>
      </c>
      <c r="P16" s="339">
        <f t="shared" si="2"/>
        <v>-4.42</v>
      </c>
      <c r="T16" t="str">
        <f t="shared" si="3"/>
        <v>FATTON AND CO</v>
      </c>
      <c r="U16" t="str">
        <f t="shared" si="4"/>
        <v>02784</v>
      </c>
      <c r="V16" t="str">
        <f t="shared" si="4"/>
        <v>EGLAINE Florent</v>
      </c>
      <c r="W16" s="340">
        <v>46022</v>
      </c>
      <c r="X16" t="str">
        <f t="shared" si="5"/>
        <v>VALENCE</v>
      </c>
      <c r="Y16" s="339">
        <f t="shared" si="6"/>
        <v>2145.3200000000002</v>
      </c>
      <c r="Z16" s="339">
        <f t="shared" si="7"/>
        <v>-4.42</v>
      </c>
      <c r="AA16" t="str">
        <f t="shared" si="0"/>
        <v>Chauffeur PL</v>
      </c>
      <c r="AB16" s="327">
        <f t="shared" si="1"/>
        <v>45027</v>
      </c>
      <c r="AD16" t="s">
        <v>538</v>
      </c>
      <c r="AE16" t="s">
        <v>556</v>
      </c>
      <c r="AF16" t="s">
        <v>500</v>
      </c>
      <c r="AG16" s="340">
        <v>46022</v>
      </c>
      <c r="AH16" t="s">
        <v>63</v>
      </c>
      <c r="AI16" s="339">
        <v>2335.63</v>
      </c>
      <c r="AJ16" s="339">
        <v>7.08</v>
      </c>
    </row>
    <row r="17" spans="1:36" x14ac:dyDescent="0.45">
      <c r="A17" s="337" t="s">
        <v>561</v>
      </c>
      <c r="B17" s="337" t="s">
        <v>524</v>
      </c>
      <c r="C17" s="337" t="s">
        <v>538</v>
      </c>
      <c r="D17" s="337" t="s">
        <v>48</v>
      </c>
      <c r="E17" s="337" t="s">
        <v>498</v>
      </c>
      <c r="F17" s="338">
        <v>1010.72</v>
      </c>
      <c r="G17" s="338">
        <v>1010.72</v>
      </c>
      <c r="H17" s="338">
        <v>0</v>
      </c>
      <c r="I17" s="338">
        <v>0</v>
      </c>
      <c r="J17" s="338">
        <v>0</v>
      </c>
      <c r="K17" s="338">
        <v>8.32</v>
      </c>
      <c r="L17" s="338">
        <v>2</v>
      </c>
      <c r="M17" s="338">
        <v>6.32</v>
      </c>
      <c r="N17" s="338">
        <v>0</v>
      </c>
      <c r="O17" s="338">
        <v>306.89999999999998</v>
      </c>
      <c r="P17" s="339">
        <f t="shared" si="2"/>
        <v>6.32</v>
      </c>
      <c r="T17" t="str">
        <f t="shared" si="3"/>
        <v>FATTON AND CO</v>
      </c>
      <c r="U17" t="str">
        <f t="shared" si="4"/>
        <v>02806</v>
      </c>
      <c r="V17" t="str">
        <f t="shared" si="4"/>
        <v>ELIBAL Rumeysa</v>
      </c>
      <c r="W17" s="340">
        <v>46022</v>
      </c>
      <c r="X17" t="str">
        <f t="shared" si="5"/>
        <v>PUSIGNAN</v>
      </c>
      <c r="Y17" s="339">
        <f t="shared" si="6"/>
        <v>1010.72</v>
      </c>
      <c r="Z17" s="339">
        <f t="shared" si="7"/>
        <v>6.32</v>
      </c>
      <c r="AA17" t="str">
        <f t="shared" si="0"/>
        <v>Assistante Exploitation</v>
      </c>
      <c r="AB17" s="327">
        <f t="shared" si="1"/>
        <v>45901</v>
      </c>
      <c r="AD17" t="s">
        <v>538</v>
      </c>
      <c r="AE17" t="s">
        <v>558</v>
      </c>
      <c r="AF17" t="s">
        <v>504</v>
      </c>
      <c r="AG17" s="340">
        <v>46022</v>
      </c>
      <c r="AH17" t="s">
        <v>63</v>
      </c>
      <c r="AI17" s="339">
        <v>2165.63</v>
      </c>
      <c r="AJ17" s="339">
        <v>6.58</v>
      </c>
    </row>
    <row r="18" spans="1:36" x14ac:dyDescent="0.45">
      <c r="A18" s="337" t="s">
        <v>578</v>
      </c>
      <c r="B18" s="337" t="s">
        <v>489</v>
      </c>
      <c r="C18" s="337" t="s">
        <v>538</v>
      </c>
      <c r="D18" s="337" t="s">
        <v>56</v>
      </c>
      <c r="E18" s="337" t="s">
        <v>477</v>
      </c>
      <c r="F18" s="338">
        <v>2720.81</v>
      </c>
      <c r="G18" s="338">
        <v>2720.81</v>
      </c>
      <c r="H18" s="338">
        <v>34</v>
      </c>
      <c r="I18" s="338">
        <v>0</v>
      </c>
      <c r="J18" s="338">
        <v>34</v>
      </c>
      <c r="K18" s="338">
        <v>14.45</v>
      </c>
      <c r="L18" s="338">
        <v>0</v>
      </c>
      <c r="M18" s="338">
        <v>14.45</v>
      </c>
      <c r="N18" s="338">
        <v>4268.92</v>
      </c>
      <c r="O18" s="338">
        <v>1887.4</v>
      </c>
      <c r="P18" s="339">
        <f t="shared" si="2"/>
        <v>48.45</v>
      </c>
      <c r="T18" t="str">
        <f t="shared" si="3"/>
        <v>FATTON AND CO</v>
      </c>
      <c r="U18" t="str">
        <f t="shared" si="4"/>
        <v>00069</v>
      </c>
      <c r="V18" t="str">
        <f t="shared" si="4"/>
        <v>FERDJI Abdenour</v>
      </c>
      <c r="W18" s="340">
        <v>46022</v>
      </c>
      <c r="X18" t="str">
        <f t="shared" si="5"/>
        <v>VALENCE</v>
      </c>
      <c r="Y18" s="339">
        <f t="shared" si="6"/>
        <v>2720.81</v>
      </c>
      <c r="Z18" s="339">
        <f t="shared" si="7"/>
        <v>48.45</v>
      </c>
      <c r="AA18" t="str">
        <f t="shared" si="0"/>
        <v>Chauffeur SPL</v>
      </c>
      <c r="AB18" s="327">
        <f t="shared" si="1"/>
        <v>43591</v>
      </c>
      <c r="AD18" t="s">
        <v>538</v>
      </c>
      <c r="AE18" t="s">
        <v>574</v>
      </c>
      <c r="AF18" t="s">
        <v>506</v>
      </c>
      <c r="AG18" s="340">
        <v>46022</v>
      </c>
      <c r="AH18" t="s">
        <v>63</v>
      </c>
      <c r="AI18" s="339">
        <v>2303.2600000000002</v>
      </c>
      <c r="AJ18" s="339">
        <v>0.08</v>
      </c>
    </row>
    <row r="19" spans="1:36" x14ac:dyDescent="0.45">
      <c r="A19" s="337" t="s">
        <v>579</v>
      </c>
      <c r="B19" s="337" t="s">
        <v>513</v>
      </c>
      <c r="C19" s="337" t="s">
        <v>538</v>
      </c>
      <c r="D19" s="337" t="s">
        <v>56</v>
      </c>
      <c r="E19" s="337" t="s">
        <v>482</v>
      </c>
      <c r="F19" s="338">
        <v>2800</v>
      </c>
      <c r="G19" s="338">
        <v>2800</v>
      </c>
      <c r="H19" s="338">
        <v>27.5</v>
      </c>
      <c r="I19" s="338">
        <v>14.5</v>
      </c>
      <c r="J19" s="338">
        <v>13</v>
      </c>
      <c r="K19" s="338">
        <v>14.58</v>
      </c>
      <c r="L19" s="338">
        <v>0</v>
      </c>
      <c r="M19" s="338">
        <v>14.58</v>
      </c>
      <c r="N19" s="338">
        <v>1679.79</v>
      </c>
      <c r="O19" s="338">
        <v>2008.49</v>
      </c>
      <c r="P19" s="339">
        <f t="shared" si="2"/>
        <v>27.58</v>
      </c>
      <c r="T19" t="str">
        <f t="shared" si="3"/>
        <v>FATTON AND CO</v>
      </c>
      <c r="U19" t="str">
        <f t="shared" si="4"/>
        <v>02792</v>
      </c>
      <c r="V19" t="str">
        <f t="shared" si="4"/>
        <v>FOSSE Eva</v>
      </c>
      <c r="W19" s="340">
        <v>46022</v>
      </c>
      <c r="X19" t="str">
        <f t="shared" si="5"/>
        <v>VALENCE</v>
      </c>
      <c r="Y19" s="339">
        <f t="shared" si="6"/>
        <v>2800</v>
      </c>
      <c r="Z19" s="339">
        <f t="shared" si="7"/>
        <v>27.58</v>
      </c>
      <c r="AA19" t="str">
        <f t="shared" si="0"/>
        <v>Exploitante</v>
      </c>
      <c r="AB19" s="327">
        <f t="shared" si="1"/>
        <v>45222</v>
      </c>
      <c r="AD19" t="s">
        <v>538</v>
      </c>
      <c r="AE19" t="s">
        <v>580</v>
      </c>
      <c r="AF19" t="s">
        <v>473</v>
      </c>
      <c r="AG19" s="340">
        <v>46022</v>
      </c>
      <c r="AH19" t="s">
        <v>63</v>
      </c>
      <c r="AI19" s="339">
        <v>3094.33</v>
      </c>
      <c r="AJ19" s="339">
        <v>24.58</v>
      </c>
    </row>
    <row r="20" spans="1:36" x14ac:dyDescent="0.45">
      <c r="A20" s="337" t="s">
        <v>581</v>
      </c>
      <c r="B20" s="337" t="s">
        <v>463</v>
      </c>
      <c r="C20" s="337" t="s">
        <v>538</v>
      </c>
      <c r="D20" s="337" t="s">
        <v>56</v>
      </c>
      <c r="E20" s="337" t="s">
        <v>466</v>
      </c>
      <c r="F20" s="338">
        <v>2271.5100000000002</v>
      </c>
      <c r="G20" s="338">
        <v>2635.89</v>
      </c>
      <c r="H20" s="338">
        <v>32.5</v>
      </c>
      <c r="I20" s="338">
        <v>20</v>
      </c>
      <c r="J20" s="338">
        <v>12.5</v>
      </c>
      <c r="K20" s="338">
        <v>14.58</v>
      </c>
      <c r="L20" s="338">
        <v>0</v>
      </c>
      <c r="M20" s="338">
        <v>14.58</v>
      </c>
      <c r="N20" s="338">
        <v>1733.37</v>
      </c>
      <c r="O20" s="338">
        <v>1930.85</v>
      </c>
      <c r="P20" s="339">
        <f t="shared" si="2"/>
        <v>27.08</v>
      </c>
      <c r="T20" t="str">
        <f t="shared" si="3"/>
        <v>FATTON AND CO</v>
      </c>
      <c r="U20" t="str">
        <f t="shared" si="4"/>
        <v>00008</v>
      </c>
      <c r="V20" t="str">
        <f t="shared" si="4"/>
        <v>GERARD Bruno</v>
      </c>
      <c r="W20" s="340">
        <v>46022</v>
      </c>
      <c r="X20" t="str">
        <f t="shared" si="5"/>
        <v>VALENCE</v>
      </c>
      <c r="Y20" s="339">
        <f t="shared" si="6"/>
        <v>2271.5100000000002</v>
      </c>
      <c r="Z20" s="339">
        <f t="shared" si="7"/>
        <v>27.08</v>
      </c>
      <c r="AA20" t="str">
        <f t="shared" si="0"/>
        <v>Chauffeur PL</v>
      </c>
      <c r="AB20" s="327">
        <f t="shared" si="1"/>
        <v>35128</v>
      </c>
      <c r="AD20" t="s">
        <v>538</v>
      </c>
      <c r="AE20" t="s">
        <v>582</v>
      </c>
      <c r="AF20" t="s">
        <v>469</v>
      </c>
      <c r="AG20" s="340">
        <v>46022</v>
      </c>
      <c r="AH20" t="s">
        <v>63</v>
      </c>
      <c r="AI20" s="339">
        <v>2611.0500000000002</v>
      </c>
      <c r="AJ20" s="339">
        <v>22.08</v>
      </c>
    </row>
    <row r="21" spans="1:36" x14ac:dyDescent="0.45">
      <c r="A21" s="337" t="s">
        <v>562</v>
      </c>
      <c r="B21" s="337" t="s">
        <v>467</v>
      </c>
      <c r="C21" s="337" t="s">
        <v>538</v>
      </c>
      <c r="D21" s="337" t="s">
        <v>48</v>
      </c>
      <c r="E21" s="337" t="s">
        <v>461</v>
      </c>
      <c r="F21" s="338">
        <v>2687.99</v>
      </c>
      <c r="G21" s="338">
        <v>2687.99</v>
      </c>
      <c r="H21" s="338">
        <v>42.5</v>
      </c>
      <c r="I21" s="338">
        <v>0</v>
      </c>
      <c r="J21" s="338">
        <v>42.5</v>
      </c>
      <c r="K21" s="338">
        <v>14.58</v>
      </c>
      <c r="L21" s="338">
        <v>0</v>
      </c>
      <c r="M21" s="338">
        <v>14.58</v>
      </c>
      <c r="N21" s="338">
        <v>5543</v>
      </c>
      <c r="O21" s="338">
        <v>1881.6</v>
      </c>
      <c r="P21" s="339">
        <f t="shared" si="2"/>
        <v>57.08</v>
      </c>
      <c r="T21" t="str">
        <f t="shared" si="3"/>
        <v>FATTON AND CO</v>
      </c>
      <c r="U21" t="str">
        <f t="shared" si="4"/>
        <v>00009</v>
      </c>
      <c r="V21" t="str">
        <f t="shared" si="4"/>
        <v>GERARD Pascal</v>
      </c>
      <c r="W21" s="340">
        <v>46022</v>
      </c>
      <c r="X21" t="str">
        <f t="shared" si="5"/>
        <v>PUSIGNAN</v>
      </c>
      <c r="Y21" s="339">
        <f t="shared" si="6"/>
        <v>2687.99</v>
      </c>
      <c r="Z21" s="339">
        <f t="shared" si="7"/>
        <v>57.08</v>
      </c>
      <c r="AA21" t="str">
        <f t="shared" si="0"/>
        <v>Chef de Quai Temp</v>
      </c>
      <c r="AB21" s="327">
        <f t="shared" si="1"/>
        <v>35541</v>
      </c>
      <c r="AD21" t="s">
        <v>538</v>
      </c>
      <c r="AE21" t="s">
        <v>583</v>
      </c>
      <c r="AF21" t="s">
        <v>518</v>
      </c>
      <c r="AG21" s="340">
        <v>46022</v>
      </c>
      <c r="AH21" t="s">
        <v>63</v>
      </c>
      <c r="AI21" s="339">
        <v>2512.13</v>
      </c>
      <c r="AJ21" s="339">
        <v>2.08</v>
      </c>
    </row>
    <row r="22" spans="1:36" x14ac:dyDescent="0.45">
      <c r="A22" s="337" t="s">
        <v>584</v>
      </c>
      <c r="B22" s="337" t="s">
        <v>484</v>
      </c>
      <c r="C22" s="337" t="s">
        <v>538</v>
      </c>
      <c r="D22" s="337" t="s">
        <v>56</v>
      </c>
      <c r="E22" s="337" t="s">
        <v>477</v>
      </c>
      <c r="F22" s="338">
        <v>2229.4499999999998</v>
      </c>
      <c r="G22" s="338">
        <v>2842.93</v>
      </c>
      <c r="H22" s="338">
        <v>32.5</v>
      </c>
      <c r="I22" s="338">
        <v>28.5</v>
      </c>
      <c r="J22" s="338">
        <v>4</v>
      </c>
      <c r="K22" s="338">
        <v>14.53</v>
      </c>
      <c r="L22" s="338">
        <v>0</v>
      </c>
      <c r="M22" s="338">
        <v>14.53</v>
      </c>
      <c r="N22" s="338">
        <v>592.92999999999995</v>
      </c>
      <c r="O22" s="338">
        <v>2180.46</v>
      </c>
      <c r="P22" s="339">
        <f t="shared" si="2"/>
        <v>18.53</v>
      </c>
      <c r="T22" t="str">
        <f t="shared" si="3"/>
        <v>FATTON AND CO</v>
      </c>
      <c r="U22" t="str">
        <f t="shared" si="4"/>
        <v>00035</v>
      </c>
      <c r="V22" t="str">
        <f t="shared" si="4"/>
        <v>GUENIFI Abdelkader</v>
      </c>
      <c r="W22" s="340">
        <v>46022</v>
      </c>
      <c r="X22" t="str">
        <f t="shared" si="5"/>
        <v>VALENCE</v>
      </c>
      <c r="Y22" s="339">
        <f t="shared" si="6"/>
        <v>2229.4499999999998</v>
      </c>
      <c r="Z22" s="339">
        <f t="shared" si="7"/>
        <v>18.53</v>
      </c>
      <c r="AA22" t="str">
        <f t="shared" si="0"/>
        <v>Chauffeur SPL</v>
      </c>
      <c r="AB22" s="327">
        <f t="shared" si="1"/>
        <v>41673</v>
      </c>
      <c r="AD22" s="326" t="s">
        <v>538</v>
      </c>
      <c r="AE22" s="326" t="s">
        <v>560</v>
      </c>
      <c r="AF22" s="326" t="s">
        <v>512</v>
      </c>
      <c r="AG22" s="330">
        <v>46022</v>
      </c>
      <c r="AH22" s="326" t="s">
        <v>56</v>
      </c>
      <c r="AI22" s="331">
        <v>2145.3200000000002</v>
      </c>
      <c r="AJ22" s="331">
        <v>9.58</v>
      </c>
    </row>
    <row r="23" spans="1:36" x14ac:dyDescent="0.45">
      <c r="A23" s="337" t="s">
        <v>585</v>
      </c>
      <c r="B23" s="337" t="s">
        <v>483</v>
      </c>
      <c r="C23" s="337" t="s">
        <v>538</v>
      </c>
      <c r="D23" s="337" t="s">
        <v>56</v>
      </c>
      <c r="E23" s="337" t="s">
        <v>466</v>
      </c>
      <c r="F23" s="338">
        <v>2781.35</v>
      </c>
      <c r="G23" s="338">
        <v>2827.92</v>
      </c>
      <c r="H23" s="338">
        <v>25</v>
      </c>
      <c r="I23" s="338">
        <v>25</v>
      </c>
      <c r="J23" s="338">
        <v>0</v>
      </c>
      <c r="K23" s="338">
        <v>14.58</v>
      </c>
      <c r="L23" s="338">
        <v>1</v>
      </c>
      <c r="M23" s="338">
        <v>13.58</v>
      </c>
      <c r="N23" s="338">
        <v>0</v>
      </c>
      <c r="O23" s="338">
        <v>1852.93</v>
      </c>
      <c r="P23" s="339">
        <f t="shared" si="2"/>
        <v>13.58</v>
      </c>
      <c r="T23" t="str">
        <f t="shared" si="3"/>
        <v>FATTON AND CO</v>
      </c>
      <c r="U23" t="str">
        <f t="shared" si="4"/>
        <v>00033</v>
      </c>
      <c r="V23" t="str">
        <f t="shared" si="4"/>
        <v>HAOUARI Khaled</v>
      </c>
      <c r="W23" s="340">
        <v>46022</v>
      </c>
      <c r="X23" t="str">
        <f t="shared" si="5"/>
        <v>VALENCE</v>
      </c>
      <c r="Y23" s="339">
        <f t="shared" si="6"/>
        <v>2781.35</v>
      </c>
      <c r="Z23" s="339">
        <f t="shared" si="7"/>
        <v>13.58</v>
      </c>
      <c r="AA23" t="str">
        <f t="shared" si="0"/>
        <v>Chauffeur PL</v>
      </c>
      <c r="AB23" s="327">
        <f t="shared" si="1"/>
        <v>39182</v>
      </c>
      <c r="AD23" s="326" t="s">
        <v>538</v>
      </c>
      <c r="AE23" s="326" t="s">
        <v>563</v>
      </c>
      <c r="AF23" s="326" t="s">
        <v>493</v>
      </c>
      <c r="AG23" s="330">
        <v>46022</v>
      </c>
      <c r="AH23" s="326" t="s">
        <v>56</v>
      </c>
      <c r="AI23" s="331">
        <v>2239.63</v>
      </c>
      <c r="AJ23" s="331">
        <v>15.58</v>
      </c>
    </row>
    <row r="24" spans="1:36" x14ac:dyDescent="0.45">
      <c r="A24" s="337" t="s">
        <v>564</v>
      </c>
      <c r="B24" s="337" t="s">
        <v>516</v>
      </c>
      <c r="C24" s="337" t="s">
        <v>538</v>
      </c>
      <c r="D24" s="337" t="s">
        <v>48</v>
      </c>
      <c r="E24" s="337" t="s">
        <v>517</v>
      </c>
      <c r="F24" s="338">
        <v>2400</v>
      </c>
      <c r="G24" s="338">
        <v>2494.92</v>
      </c>
      <c r="H24" s="338">
        <v>24</v>
      </c>
      <c r="I24" s="338">
        <v>24</v>
      </c>
      <c r="J24" s="338">
        <v>0</v>
      </c>
      <c r="K24" s="338">
        <v>14.58</v>
      </c>
      <c r="L24" s="338">
        <v>4.5</v>
      </c>
      <c r="M24" s="338">
        <v>10.08</v>
      </c>
      <c r="N24" s="338">
        <v>0</v>
      </c>
      <c r="O24" s="338">
        <v>1198.6500000000001</v>
      </c>
      <c r="P24" s="339">
        <f t="shared" si="2"/>
        <v>10.08</v>
      </c>
      <c r="T24" t="str">
        <f t="shared" si="3"/>
        <v>FATTON AND CO</v>
      </c>
      <c r="U24" t="str">
        <f t="shared" si="4"/>
        <v>02793</v>
      </c>
      <c r="V24" t="str">
        <f t="shared" si="4"/>
        <v>JACQUOT Grégory</v>
      </c>
      <c r="W24" s="340">
        <v>46022</v>
      </c>
      <c r="X24" t="str">
        <f t="shared" si="5"/>
        <v>PUSIGNAN</v>
      </c>
      <c r="Y24" s="339">
        <f t="shared" si="6"/>
        <v>2400</v>
      </c>
      <c r="Z24" s="339">
        <f t="shared" si="7"/>
        <v>10.08</v>
      </c>
      <c r="AA24" t="str">
        <f t="shared" si="0"/>
        <v>Chef de quai</v>
      </c>
      <c r="AB24" s="327">
        <f t="shared" si="1"/>
        <v>45313</v>
      </c>
      <c r="AD24" s="326" t="s">
        <v>538</v>
      </c>
      <c r="AE24" s="326" t="s">
        <v>565</v>
      </c>
      <c r="AF24" s="326" t="s">
        <v>476</v>
      </c>
      <c r="AG24" s="330">
        <v>46022</v>
      </c>
      <c r="AH24" s="326" t="s">
        <v>56</v>
      </c>
      <c r="AI24" s="331">
        <v>2892.96</v>
      </c>
      <c r="AJ24" s="331">
        <v>17.579999999999998</v>
      </c>
    </row>
    <row r="25" spans="1:36" x14ac:dyDescent="0.45">
      <c r="A25" s="337" t="s">
        <v>586</v>
      </c>
      <c r="B25" s="337" t="s">
        <v>501</v>
      </c>
      <c r="C25" s="337" t="s">
        <v>538</v>
      </c>
      <c r="D25" s="337" t="s">
        <v>56</v>
      </c>
      <c r="E25" s="337" t="s">
        <v>477</v>
      </c>
      <c r="F25" s="338">
        <v>2550</v>
      </c>
      <c r="G25" s="338">
        <v>2550</v>
      </c>
      <c r="H25" s="338">
        <v>27.5</v>
      </c>
      <c r="I25" s="338">
        <v>14</v>
      </c>
      <c r="J25" s="338">
        <v>13.5</v>
      </c>
      <c r="K25" s="338">
        <v>14.58</v>
      </c>
      <c r="L25" s="338">
        <v>0</v>
      </c>
      <c r="M25" s="338">
        <v>14.58</v>
      </c>
      <c r="N25" s="338">
        <v>1652.4</v>
      </c>
      <c r="O25" s="338">
        <v>1785</v>
      </c>
      <c r="P25" s="339">
        <f t="shared" si="2"/>
        <v>28.08</v>
      </c>
      <c r="T25" t="str">
        <f t="shared" si="3"/>
        <v>FATTON AND CO</v>
      </c>
      <c r="U25" t="str">
        <f t="shared" si="4"/>
        <v>02772</v>
      </c>
      <c r="V25" t="str">
        <f t="shared" si="4"/>
        <v>LAGIER Vivien</v>
      </c>
      <c r="W25" s="340">
        <v>46022</v>
      </c>
      <c r="X25" t="str">
        <f t="shared" si="5"/>
        <v>VALENCE</v>
      </c>
      <c r="Y25" s="339">
        <f t="shared" si="6"/>
        <v>2550</v>
      </c>
      <c r="Z25" s="339">
        <f t="shared" si="7"/>
        <v>28.08</v>
      </c>
      <c r="AA25" t="str">
        <f t="shared" si="0"/>
        <v>Affréteur</v>
      </c>
      <c r="AB25" s="327">
        <f t="shared" si="1"/>
        <v>44440.333333333336</v>
      </c>
      <c r="AD25" s="326" t="s">
        <v>538</v>
      </c>
      <c r="AE25" s="326" t="s">
        <v>567</v>
      </c>
      <c r="AF25" s="326" t="s">
        <v>505</v>
      </c>
      <c r="AG25" s="330">
        <v>46022</v>
      </c>
      <c r="AH25" s="326" t="s">
        <v>56</v>
      </c>
      <c r="AI25" s="331">
        <v>2145.3200000000002</v>
      </c>
      <c r="AJ25" s="331">
        <v>24.58</v>
      </c>
    </row>
    <row r="26" spans="1:36" x14ac:dyDescent="0.45">
      <c r="A26" s="337" t="s">
        <v>566</v>
      </c>
      <c r="B26" s="337" t="s">
        <v>529</v>
      </c>
      <c r="C26" s="337" t="s">
        <v>538</v>
      </c>
      <c r="D26" s="337" t="s">
        <v>48</v>
      </c>
      <c r="E26" s="337" t="s">
        <v>498</v>
      </c>
      <c r="F26" s="338">
        <v>3000</v>
      </c>
      <c r="G26" s="338">
        <v>3000</v>
      </c>
      <c r="H26" s="338">
        <v>0</v>
      </c>
      <c r="I26" s="338">
        <v>0</v>
      </c>
      <c r="J26" s="338">
        <v>0</v>
      </c>
      <c r="K26" s="338">
        <v>6.25</v>
      </c>
      <c r="L26" s="338">
        <v>1</v>
      </c>
      <c r="M26" s="338">
        <v>5.25</v>
      </c>
      <c r="N26" s="338">
        <v>0</v>
      </c>
      <c r="O26" s="338">
        <v>756</v>
      </c>
      <c r="P26" s="339">
        <f t="shared" si="2"/>
        <v>5.25</v>
      </c>
      <c r="T26" t="str">
        <f t="shared" si="3"/>
        <v>FATTON AND CO</v>
      </c>
      <c r="U26" t="str">
        <f t="shared" si="4"/>
        <v>02809</v>
      </c>
      <c r="V26" t="str">
        <f t="shared" si="4"/>
        <v>LELIEVRE-OUDIN Fabien</v>
      </c>
      <c r="W26" s="340">
        <v>46022</v>
      </c>
      <c r="X26" t="str">
        <f t="shared" si="5"/>
        <v>PUSIGNAN</v>
      </c>
      <c r="Y26" s="339">
        <f t="shared" si="6"/>
        <v>3000</v>
      </c>
      <c r="Z26" s="339">
        <f t="shared" si="7"/>
        <v>5.25</v>
      </c>
      <c r="AA26" t="str">
        <f t="shared" si="0"/>
        <v>Affréteur</v>
      </c>
      <c r="AB26" s="327">
        <f t="shared" si="1"/>
        <v>45931</v>
      </c>
      <c r="AD26" s="326" t="s">
        <v>538</v>
      </c>
      <c r="AE26" s="326" t="s">
        <v>570</v>
      </c>
      <c r="AF26" s="326" t="s">
        <v>479</v>
      </c>
      <c r="AG26" s="330">
        <v>46022</v>
      </c>
      <c r="AH26" s="326" t="s">
        <v>56</v>
      </c>
      <c r="AI26" s="331">
        <v>3250</v>
      </c>
      <c r="AJ26" s="331">
        <v>51.58</v>
      </c>
    </row>
    <row r="27" spans="1:36" x14ac:dyDescent="0.45">
      <c r="A27" s="337" t="s">
        <v>568</v>
      </c>
      <c r="B27" s="337" t="s">
        <v>487</v>
      </c>
      <c r="C27" s="337" t="s">
        <v>538</v>
      </c>
      <c r="D27" s="337" t="s">
        <v>48</v>
      </c>
      <c r="E27" s="337" t="s">
        <v>488</v>
      </c>
      <c r="F27" s="338">
        <v>2239.63</v>
      </c>
      <c r="G27" s="338">
        <v>0</v>
      </c>
      <c r="H27" s="338">
        <v>25</v>
      </c>
      <c r="I27" s="338">
        <v>6</v>
      </c>
      <c r="J27" s="338">
        <v>19</v>
      </c>
      <c r="K27" s="338">
        <v>13.22</v>
      </c>
      <c r="L27" s="338">
        <v>0</v>
      </c>
      <c r="M27" s="338">
        <v>13.22</v>
      </c>
      <c r="N27" s="338">
        <v>2498.1999999999998</v>
      </c>
      <c r="O27" s="338">
        <v>1617.86</v>
      </c>
      <c r="P27" s="339">
        <f t="shared" si="2"/>
        <v>32.22</v>
      </c>
      <c r="T27" t="str">
        <f t="shared" si="3"/>
        <v>FATTON AND CO</v>
      </c>
      <c r="U27" t="str">
        <f t="shared" si="4"/>
        <v>00068</v>
      </c>
      <c r="V27" t="str">
        <f t="shared" si="4"/>
        <v>MERLE Xavier</v>
      </c>
      <c r="W27" s="340">
        <v>46022</v>
      </c>
      <c r="X27" t="str">
        <f t="shared" si="5"/>
        <v>PUSIGNAN</v>
      </c>
      <c r="Y27" s="339">
        <f t="shared" si="6"/>
        <v>2239.63</v>
      </c>
      <c r="Z27" s="339">
        <f t="shared" si="7"/>
        <v>32.22</v>
      </c>
      <c r="AA27" t="str">
        <f t="shared" si="0"/>
        <v>Chauffeur SPL</v>
      </c>
      <c r="AB27" s="327">
        <f t="shared" si="1"/>
        <v>43556</v>
      </c>
      <c r="AD27" s="326" t="s">
        <v>538</v>
      </c>
      <c r="AE27" s="326" t="s">
        <v>577</v>
      </c>
      <c r="AF27" s="326" t="s">
        <v>508</v>
      </c>
      <c r="AG27" s="330">
        <v>46022</v>
      </c>
      <c r="AH27" s="326" t="s">
        <v>56</v>
      </c>
      <c r="AI27" s="331">
        <v>2145.3200000000002</v>
      </c>
      <c r="AJ27" s="331">
        <v>-4.42</v>
      </c>
    </row>
    <row r="28" spans="1:36" x14ac:dyDescent="0.45">
      <c r="A28" s="337" t="s">
        <v>580</v>
      </c>
      <c r="B28" s="337" t="s">
        <v>473</v>
      </c>
      <c r="C28" s="337" t="s">
        <v>538</v>
      </c>
      <c r="D28" s="337" t="s">
        <v>63</v>
      </c>
      <c r="E28" s="337" t="s">
        <v>474</v>
      </c>
      <c r="F28" s="338">
        <v>3094.33</v>
      </c>
      <c r="G28" s="338">
        <v>3238.84</v>
      </c>
      <c r="H28" s="338">
        <v>28</v>
      </c>
      <c r="I28" s="338">
        <v>18</v>
      </c>
      <c r="J28" s="338">
        <v>10</v>
      </c>
      <c r="K28" s="338">
        <v>14.58</v>
      </c>
      <c r="L28" s="338">
        <v>0</v>
      </c>
      <c r="M28" s="338">
        <v>14.58</v>
      </c>
      <c r="N28" s="338">
        <v>1558.13</v>
      </c>
      <c r="O28" s="338">
        <v>2257.09</v>
      </c>
      <c r="P28" s="339">
        <f t="shared" si="2"/>
        <v>24.58</v>
      </c>
      <c r="T28" t="str">
        <f t="shared" si="3"/>
        <v>FATTON AND CO</v>
      </c>
      <c r="U28" t="str">
        <f t="shared" si="4"/>
        <v>00019</v>
      </c>
      <c r="V28" t="str">
        <f t="shared" si="4"/>
        <v>MOKRANI Eric</v>
      </c>
      <c r="W28" s="340">
        <v>46022</v>
      </c>
      <c r="X28" t="str">
        <f t="shared" si="5"/>
        <v>ROGNAC</v>
      </c>
      <c r="Y28" s="339">
        <f t="shared" si="6"/>
        <v>3094.33</v>
      </c>
      <c r="Z28" s="339">
        <f t="shared" si="7"/>
        <v>24.58</v>
      </c>
      <c r="AA28" t="str">
        <f t="shared" si="0"/>
        <v>Chauffeur PL</v>
      </c>
      <c r="AB28" s="327">
        <f t="shared" si="1"/>
        <v>36026</v>
      </c>
      <c r="AD28" s="326" t="s">
        <v>538</v>
      </c>
      <c r="AE28" s="326" t="s">
        <v>578</v>
      </c>
      <c r="AF28" s="326" t="s">
        <v>489</v>
      </c>
      <c r="AG28" s="330">
        <v>46022</v>
      </c>
      <c r="AH28" s="326" t="s">
        <v>56</v>
      </c>
      <c r="AI28" s="331">
        <v>2720.81</v>
      </c>
      <c r="AJ28" s="331">
        <v>48.45</v>
      </c>
    </row>
    <row r="29" spans="1:36" x14ac:dyDescent="0.45">
      <c r="A29" s="337" t="s">
        <v>569</v>
      </c>
      <c r="B29" s="337" t="s">
        <v>496</v>
      </c>
      <c r="C29" s="337" t="s">
        <v>538</v>
      </c>
      <c r="D29" s="337" t="s">
        <v>48</v>
      </c>
      <c r="E29" s="337" t="s">
        <v>498</v>
      </c>
      <c r="F29" s="338">
        <v>3200</v>
      </c>
      <c r="G29" s="338">
        <v>3200</v>
      </c>
      <c r="H29" s="338">
        <v>37.5</v>
      </c>
      <c r="I29" s="338">
        <v>16.5</v>
      </c>
      <c r="J29" s="338">
        <v>21</v>
      </c>
      <c r="K29" s="338">
        <v>14.58</v>
      </c>
      <c r="L29" s="338">
        <v>0</v>
      </c>
      <c r="M29" s="338">
        <v>14.58</v>
      </c>
      <c r="N29" s="338">
        <v>3101.06</v>
      </c>
      <c r="O29" s="338">
        <v>2180</v>
      </c>
      <c r="P29" s="339">
        <f t="shared" si="2"/>
        <v>35.58</v>
      </c>
      <c r="T29" t="str">
        <f t="shared" si="3"/>
        <v>FATTON AND CO</v>
      </c>
      <c r="U29" t="str">
        <f t="shared" si="4"/>
        <v>00080</v>
      </c>
      <c r="V29" t="str">
        <f t="shared" si="4"/>
        <v>MORIM Enola</v>
      </c>
      <c r="W29" s="340">
        <v>46022</v>
      </c>
      <c r="X29" t="str">
        <f t="shared" si="5"/>
        <v>PUSIGNAN</v>
      </c>
      <c r="Y29" s="339">
        <f t="shared" si="6"/>
        <v>3200</v>
      </c>
      <c r="Z29" s="339">
        <f t="shared" si="7"/>
        <v>35.58</v>
      </c>
      <c r="AA29" t="str">
        <f t="shared" si="0"/>
        <v>Responsable Exploitation</v>
      </c>
      <c r="AB29" s="327">
        <f t="shared" si="1"/>
        <v>44435</v>
      </c>
      <c r="AD29" s="326" t="s">
        <v>538</v>
      </c>
      <c r="AE29" s="326" t="s">
        <v>579</v>
      </c>
      <c r="AF29" s="326" t="s">
        <v>513</v>
      </c>
      <c r="AG29" s="330">
        <v>46022</v>
      </c>
      <c r="AH29" s="326" t="s">
        <v>56</v>
      </c>
      <c r="AI29" s="331">
        <v>2800</v>
      </c>
      <c r="AJ29" s="331">
        <v>27.58</v>
      </c>
    </row>
    <row r="30" spans="1:36" x14ac:dyDescent="0.45">
      <c r="A30" s="337" t="s">
        <v>571</v>
      </c>
      <c r="B30" s="337" t="s">
        <v>526</v>
      </c>
      <c r="C30" s="337" t="s">
        <v>538</v>
      </c>
      <c r="D30" s="337" t="s">
        <v>48</v>
      </c>
      <c r="E30" s="337" t="s">
        <v>488</v>
      </c>
      <c r="F30" s="338">
        <v>2252.25</v>
      </c>
      <c r="G30" s="338">
        <v>3565.23</v>
      </c>
      <c r="H30" s="338">
        <v>26</v>
      </c>
      <c r="I30" s="338">
        <v>26</v>
      </c>
      <c r="J30" s="338">
        <v>0</v>
      </c>
      <c r="K30" s="338">
        <v>14.59</v>
      </c>
      <c r="L30" s="338">
        <v>3.5</v>
      </c>
      <c r="M30" s="338">
        <v>11.09</v>
      </c>
      <c r="N30" s="338">
        <v>0</v>
      </c>
      <c r="O30" s="338">
        <v>1545.95</v>
      </c>
      <c r="P30" s="339">
        <f t="shared" si="2"/>
        <v>11.09</v>
      </c>
      <c r="T30" t="str">
        <f t="shared" si="3"/>
        <v>FATTON AND CO</v>
      </c>
      <c r="U30" t="str">
        <f t="shared" si="4"/>
        <v>02807</v>
      </c>
      <c r="V30" t="str">
        <f t="shared" si="4"/>
        <v>NICAISE Frédéric</v>
      </c>
      <c r="W30" s="340">
        <v>46022</v>
      </c>
      <c r="X30" t="str">
        <f t="shared" si="5"/>
        <v>PUSIGNAN</v>
      </c>
      <c r="Y30" s="339">
        <f t="shared" si="6"/>
        <v>2252.25</v>
      </c>
      <c r="Z30" s="339">
        <f t="shared" si="7"/>
        <v>11.09</v>
      </c>
      <c r="AA30" t="str">
        <f t="shared" si="0"/>
        <v>Conducteur PL</v>
      </c>
      <c r="AB30" s="327">
        <f t="shared" si="1"/>
        <v>44515</v>
      </c>
      <c r="AD30" s="326" t="s">
        <v>538</v>
      </c>
      <c r="AE30" s="326" t="s">
        <v>581</v>
      </c>
      <c r="AF30" s="326" t="s">
        <v>463</v>
      </c>
      <c r="AG30" s="330">
        <v>46022</v>
      </c>
      <c r="AH30" s="326" t="s">
        <v>56</v>
      </c>
      <c r="AI30" s="331">
        <v>2271.5100000000002</v>
      </c>
      <c r="AJ30" s="331">
        <v>27.08</v>
      </c>
    </row>
    <row r="31" spans="1:36" x14ac:dyDescent="0.45">
      <c r="A31" s="337" t="s">
        <v>582</v>
      </c>
      <c r="B31" s="337" t="s">
        <v>469</v>
      </c>
      <c r="C31" s="337" t="s">
        <v>538</v>
      </c>
      <c r="D31" s="337" t="s">
        <v>63</v>
      </c>
      <c r="E31" s="337" t="s">
        <v>471</v>
      </c>
      <c r="F31" s="338">
        <v>2611.0500000000002</v>
      </c>
      <c r="G31" s="338">
        <v>3098.37</v>
      </c>
      <c r="H31" s="338">
        <v>29.5</v>
      </c>
      <c r="I31" s="338">
        <v>22</v>
      </c>
      <c r="J31" s="338">
        <v>7.5</v>
      </c>
      <c r="K31" s="338">
        <v>14.58</v>
      </c>
      <c r="L31" s="338">
        <v>0</v>
      </c>
      <c r="M31" s="338">
        <v>14.58</v>
      </c>
      <c r="N31" s="338">
        <v>1114.99</v>
      </c>
      <c r="O31" s="338">
        <v>2247.7800000000002</v>
      </c>
      <c r="P31" s="339">
        <f t="shared" si="2"/>
        <v>22.08</v>
      </c>
      <c r="T31" t="str">
        <f t="shared" si="3"/>
        <v>FATTON AND CO</v>
      </c>
      <c r="U31" t="str">
        <f t="shared" si="4"/>
        <v>00018</v>
      </c>
      <c r="V31" t="str">
        <f t="shared" si="4"/>
        <v>PAVARD Joel</v>
      </c>
      <c r="W31" s="340">
        <v>46022</v>
      </c>
      <c r="X31" t="str">
        <f t="shared" si="5"/>
        <v>ROGNAC</v>
      </c>
      <c r="Y31" s="339">
        <f t="shared" si="6"/>
        <v>2611.0500000000002</v>
      </c>
      <c r="Z31" s="339">
        <f t="shared" si="7"/>
        <v>22.08</v>
      </c>
      <c r="AA31" t="str">
        <f t="shared" si="0"/>
        <v>Chauffeur PL</v>
      </c>
      <c r="AB31" s="327">
        <f t="shared" si="1"/>
        <v>37734</v>
      </c>
      <c r="AD31" s="326" t="s">
        <v>538</v>
      </c>
      <c r="AE31" s="326" t="s">
        <v>584</v>
      </c>
      <c r="AF31" s="326" t="s">
        <v>484</v>
      </c>
      <c r="AG31" s="330">
        <v>46022</v>
      </c>
      <c r="AH31" s="326" t="s">
        <v>56</v>
      </c>
      <c r="AI31" s="331">
        <v>2229.4499999999998</v>
      </c>
      <c r="AJ31" s="331">
        <v>18.53</v>
      </c>
    </row>
    <row r="32" spans="1:36" x14ac:dyDescent="0.45">
      <c r="A32" s="337" t="s">
        <v>583</v>
      </c>
      <c r="B32" s="337" t="s">
        <v>518</v>
      </c>
      <c r="C32" s="337" t="s">
        <v>538</v>
      </c>
      <c r="D32" s="337" t="s">
        <v>63</v>
      </c>
      <c r="E32" s="337" t="s">
        <v>474</v>
      </c>
      <c r="F32" s="338">
        <v>2512.13</v>
      </c>
      <c r="G32" s="338">
        <v>2577.89</v>
      </c>
      <c r="H32" s="338">
        <v>26</v>
      </c>
      <c r="I32" s="338">
        <v>26</v>
      </c>
      <c r="J32" s="338">
        <v>0</v>
      </c>
      <c r="K32" s="338">
        <v>14.58</v>
      </c>
      <c r="L32" s="338">
        <v>12.5</v>
      </c>
      <c r="M32" s="338">
        <v>2.08</v>
      </c>
      <c r="N32" s="338">
        <v>0</v>
      </c>
      <c r="O32" s="338">
        <v>258.63</v>
      </c>
      <c r="P32" s="339">
        <f t="shared" si="2"/>
        <v>2.08</v>
      </c>
      <c r="T32" t="str">
        <f t="shared" si="3"/>
        <v>FATTON AND CO</v>
      </c>
      <c r="U32" t="str">
        <f t="shared" si="4"/>
        <v>02794</v>
      </c>
      <c r="V32" t="str">
        <f t="shared" si="4"/>
        <v>PENNACCHI Eric</v>
      </c>
      <c r="W32" s="340">
        <v>46022</v>
      </c>
      <c r="X32" t="str">
        <f t="shared" si="5"/>
        <v>ROGNAC</v>
      </c>
      <c r="Y32" s="339">
        <f t="shared" si="6"/>
        <v>2512.13</v>
      </c>
      <c r="Z32" s="339">
        <f t="shared" si="7"/>
        <v>2.08</v>
      </c>
      <c r="AA32" t="str">
        <f t="shared" si="0"/>
        <v>Conducteur PL</v>
      </c>
      <c r="AB32" s="327">
        <f t="shared" si="1"/>
        <v>45337</v>
      </c>
      <c r="AD32" s="326" t="s">
        <v>538</v>
      </c>
      <c r="AE32" s="326" t="s">
        <v>585</v>
      </c>
      <c r="AF32" s="326" t="s">
        <v>483</v>
      </c>
      <c r="AG32" s="330">
        <v>46022</v>
      </c>
      <c r="AH32" s="326" t="s">
        <v>56</v>
      </c>
      <c r="AI32" s="331">
        <v>2781.35</v>
      </c>
      <c r="AJ32" s="331">
        <v>13.58</v>
      </c>
    </row>
    <row r="33" spans="1:36" x14ac:dyDescent="0.45">
      <c r="A33" s="337" t="s">
        <v>572</v>
      </c>
      <c r="B33" s="337" t="s">
        <v>520</v>
      </c>
      <c r="C33" s="337" t="s">
        <v>538</v>
      </c>
      <c r="D33" s="337" t="s">
        <v>48</v>
      </c>
      <c r="E33" s="337" t="s">
        <v>498</v>
      </c>
      <c r="F33" s="338">
        <v>3527</v>
      </c>
      <c r="G33" s="338">
        <v>3527</v>
      </c>
      <c r="H33" s="338">
        <v>23</v>
      </c>
      <c r="I33" s="338">
        <v>23</v>
      </c>
      <c r="J33" s="338">
        <v>0</v>
      </c>
      <c r="K33" s="338">
        <v>14.58</v>
      </c>
      <c r="L33" s="338">
        <v>0</v>
      </c>
      <c r="M33" s="338">
        <v>14.58</v>
      </c>
      <c r="N33" s="338">
        <v>0</v>
      </c>
      <c r="O33" s="338">
        <v>2395.5700000000002</v>
      </c>
      <c r="P33" s="339">
        <f t="shared" si="2"/>
        <v>14.58</v>
      </c>
      <c r="T33" t="str">
        <f t="shared" si="3"/>
        <v>FATTON AND CO</v>
      </c>
      <c r="U33" t="str">
        <f t="shared" si="4"/>
        <v>02798</v>
      </c>
      <c r="V33" t="str">
        <f t="shared" si="4"/>
        <v>REGUIG Boris</v>
      </c>
      <c r="W33" s="340">
        <v>46022</v>
      </c>
      <c r="X33" t="str">
        <f t="shared" si="5"/>
        <v>PUSIGNAN</v>
      </c>
      <c r="Y33" s="339">
        <f t="shared" si="6"/>
        <v>3527</v>
      </c>
      <c r="Z33" s="339">
        <f t="shared" si="7"/>
        <v>14.58</v>
      </c>
      <c r="AA33" t="str">
        <f t="shared" si="0"/>
        <v>Exploitant affréteur</v>
      </c>
      <c r="AB33" s="327">
        <f t="shared" si="1"/>
        <v>45474</v>
      </c>
      <c r="AD33" s="326" t="s">
        <v>538</v>
      </c>
      <c r="AE33" s="326" t="s">
        <v>586</v>
      </c>
      <c r="AF33" s="326" t="s">
        <v>501</v>
      </c>
      <c r="AG33" s="330">
        <v>46022</v>
      </c>
      <c r="AH33" s="326" t="s">
        <v>56</v>
      </c>
      <c r="AI33" s="331">
        <v>2550</v>
      </c>
      <c r="AJ33" s="331">
        <v>28.08</v>
      </c>
    </row>
    <row r="34" spans="1:36" x14ac:dyDescent="0.45">
      <c r="A34" s="337" t="s">
        <v>573</v>
      </c>
      <c r="B34" s="337" t="s">
        <v>527</v>
      </c>
      <c r="C34" s="337" t="s">
        <v>538</v>
      </c>
      <c r="D34" s="337" t="s">
        <v>48</v>
      </c>
      <c r="E34" s="337" t="s">
        <v>498</v>
      </c>
      <c r="F34" s="338">
        <v>2800</v>
      </c>
      <c r="G34" s="338">
        <v>2852</v>
      </c>
      <c r="H34" s="338">
        <v>0</v>
      </c>
      <c r="I34" s="338">
        <v>0</v>
      </c>
      <c r="J34" s="338">
        <v>0</v>
      </c>
      <c r="K34" s="338">
        <v>8.26</v>
      </c>
      <c r="L34" s="338">
        <v>1</v>
      </c>
      <c r="M34" s="338">
        <v>7.26</v>
      </c>
      <c r="N34" s="338">
        <v>0</v>
      </c>
      <c r="O34" s="338">
        <v>994.7</v>
      </c>
      <c r="P34" s="339">
        <f t="shared" si="2"/>
        <v>7.26</v>
      </c>
      <c r="T34" t="str">
        <f t="shared" si="3"/>
        <v>FATTON AND CO</v>
      </c>
      <c r="U34" t="str">
        <f t="shared" si="4"/>
        <v>02808</v>
      </c>
      <c r="V34" t="str">
        <f t="shared" si="4"/>
        <v>ROCHAS Christelle</v>
      </c>
      <c r="W34" s="340">
        <v>46022</v>
      </c>
      <c r="X34" t="str">
        <f t="shared" si="5"/>
        <v>PUSIGNAN</v>
      </c>
      <c r="Y34" s="339">
        <f t="shared" si="6"/>
        <v>2800</v>
      </c>
      <c r="Z34" s="339">
        <f t="shared" si="7"/>
        <v>7.26</v>
      </c>
      <c r="AA34" t="str">
        <f t="shared" si="0"/>
        <v>Commerciale</v>
      </c>
      <c r="AB34" s="327">
        <f t="shared" si="1"/>
        <v>45901</v>
      </c>
      <c r="AD34" s="326" t="s">
        <v>538</v>
      </c>
      <c r="AE34" s="326" t="s">
        <v>587</v>
      </c>
      <c r="AF34" s="326" t="s">
        <v>495</v>
      </c>
      <c r="AG34" s="330">
        <v>46022</v>
      </c>
      <c r="AH34" s="326" t="s">
        <v>56</v>
      </c>
      <c r="AI34" s="331">
        <v>2325.7800000000002</v>
      </c>
      <c r="AJ34" s="331">
        <v>28.58</v>
      </c>
    </row>
    <row r="35" spans="1:36" x14ac:dyDescent="0.45">
      <c r="A35" s="337" t="s">
        <v>587</v>
      </c>
      <c r="B35" s="337" t="s">
        <v>495</v>
      </c>
      <c r="C35" s="337" t="s">
        <v>538</v>
      </c>
      <c r="D35" s="337" t="s">
        <v>56</v>
      </c>
      <c r="E35" s="337" t="s">
        <v>466</v>
      </c>
      <c r="F35" s="338">
        <v>2325.7800000000002</v>
      </c>
      <c r="G35" s="338">
        <v>2325.7800000000002</v>
      </c>
      <c r="H35" s="338">
        <v>25</v>
      </c>
      <c r="I35" s="338">
        <v>11</v>
      </c>
      <c r="J35" s="338">
        <v>14</v>
      </c>
      <c r="K35" s="338">
        <v>14.58</v>
      </c>
      <c r="L35" s="338">
        <v>0</v>
      </c>
      <c r="M35" s="338">
        <v>14.58</v>
      </c>
      <c r="N35" s="338">
        <v>1692.14</v>
      </c>
      <c r="O35" s="338">
        <v>1708.06</v>
      </c>
      <c r="P35" s="339">
        <f t="shared" si="2"/>
        <v>28.58</v>
      </c>
      <c r="T35" t="str">
        <f t="shared" si="3"/>
        <v>FATTON AND CO</v>
      </c>
      <c r="U35" t="str">
        <f t="shared" si="4"/>
        <v>00077</v>
      </c>
      <c r="V35" t="str">
        <f t="shared" si="4"/>
        <v>RODRIGUES Paula Cristina</v>
      </c>
      <c r="W35" s="340">
        <v>46022</v>
      </c>
      <c r="X35" t="str">
        <f t="shared" si="5"/>
        <v>VALENCE</v>
      </c>
      <c r="Y35" s="339">
        <f t="shared" si="6"/>
        <v>2325.7800000000002</v>
      </c>
      <c r="Z35" s="339">
        <f t="shared" si="7"/>
        <v>28.58</v>
      </c>
      <c r="AA35" t="str">
        <f t="shared" si="0"/>
        <v>Chauffeur PL</v>
      </c>
      <c r="AB35" s="327">
        <f t="shared" si="1"/>
        <v>38586</v>
      </c>
      <c r="AD35" s="326" t="s">
        <v>538</v>
      </c>
      <c r="AE35" s="326" t="s">
        <v>588</v>
      </c>
      <c r="AF35" s="326" t="s">
        <v>499</v>
      </c>
      <c r="AG35" s="330">
        <v>46022</v>
      </c>
      <c r="AH35" s="326" t="s">
        <v>56</v>
      </c>
      <c r="AI35" s="331">
        <v>2145.3200000000002</v>
      </c>
      <c r="AJ35" s="331">
        <v>19.579999999999998</v>
      </c>
    </row>
    <row r="36" spans="1:36" x14ac:dyDescent="0.45">
      <c r="A36" s="337" t="s">
        <v>588</v>
      </c>
      <c r="B36" s="337" t="s">
        <v>499</v>
      </c>
      <c r="C36" s="337" t="s">
        <v>538</v>
      </c>
      <c r="D36" s="337" t="s">
        <v>56</v>
      </c>
      <c r="E36" s="337" t="s">
        <v>477</v>
      </c>
      <c r="F36" s="338">
        <v>2145.3200000000002</v>
      </c>
      <c r="G36" s="338">
        <v>2439.79</v>
      </c>
      <c r="H36" s="338">
        <v>37</v>
      </c>
      <c r="I36" s="338">
        <v>32</v>
      </c>
      <c r="J36" s="338">
        <v>5</v>
      </c>
      <c r="K36" s="338">
        <v>14.58</v>
      </c>
      <c r="L36" s="338">
        <v>0</v>
      </c>
      <c r="M36" s="338">
        <v>14.58</v>
      </c>
      <c r="N36" s="338">
        <v>731.01</v>
      </c>
      <c r="O36" s="338">
        <v>1978</v>
      </c>
      <c r="P36" s="339">
        <f t="shared" si="2"/>
        <v>19.579999999999998</v>
      </c>
      <c r="T36" t="str">
        <f t="shared" si="3"/>
        <v>FATTON AND CO</v>
      </c>
      <c r="U36" t="str">
        <f t="shared" si="4"/>
        <v>00081</v>
      </c>
      <c r="V36" t="str">
        <f t="shared" si="4"/>
        <v>TALBI Mehdi</v>
      </c>
      <c r="W36" s="340">
        <v>46022</v>
      </c>
      <c r="X36" t="str">
        <f t="shared" si="5"/>
        <v>VALENCE</v>
      </c>
      <c r="Y36" s="339">
        <f t="shared" si="6"/>
        <v>2145.3200000000002</v>
      </c>
      <c r="Z36" s="339">
        <f t="shared" si="7"/>
        <v>19.579999999999998</v>
      </c>
      <c r="AA36" t="str">
        <f t="shared" ref="AA36:AA55" si="8">VLOOKUP(V36,base,12,FALSE)</f>
        <v>Conducteur PL</v>
      </c>
      <c r="AB36" s="327">
        <f t="shared" ref="AB36:AB55" si="9">VLOOKUP(V36,base,10,FALSE)</f>
        <v>44440</v>
      </c>
      <c r="AD36" s="326" t="s">
        <v>538</v>
      </c>
      <c r="AE36" s="326" t="s">
        <v>589</v>
      </c>
      <c r="AF36" s="326" t="s">
        <v>486</v>
      </c>
      <c r="AG36" s="330">
        <v>46022</v>
      </c>
      <c r="AH36" s="326" t="s">
        <v>56</v>
      </c>
      <c r="AI36" s="331">
        <v>2325.7800000000002</v>
      </c>
      <c r="AJ36" s="331">
        <v>25.58</v>
      </c>
    </row>
    <row r="37" spans="1:36" x14ac:dyDescent="0.45">
      <c r="A37" s="337" t="s">
        <v>589</v>
      </c>
      <c r="B37" s="337" t="s">
        <v>486</v>
      </c>
      <c r="C37" s="337" t="s">
        <v>538</v>
      </c>
      <c r="D37" s="337" t="s">
        <v>56</v>
      </c>
      <c r="E37" s="337" t="s">
        <v>477</v>
      </c>
      <c r="F37" s="338">
        <v>2325.7800000000002</v>
      </c>
      <c r="G37" s="338">
        <v>2974.39</v>
      </c>
      <c r="H37" s="338">
        <v>28</v>
      </c>
      <c r="I37" s="338">
        <v>17</v>
      </c>
      <c r="J37" s="338">
        <v>11</v>
      </c>
      <c r="K37" s="338">
        <v>14.58</v>
      </c>
      <c r="L37" s="338">
        <v>0</v>
      </c>
      <c r="M37" s="338">
        <v>14.58</v>
      </c>
      <c r="N37" s="338">
        <v>1560.9</v>
      </c>
      <c r="O37" s="338">
        <v>2089.5100000000002</v>
      </c>
      <c r="P37" s="339">
        <f t="shared" si="2"/>
        <v>25.58</v>
      </c>
      <c r="T37" t="str">
        <f t="shared" si="3"/>
        <v>FATTON AND CO</v>
      </c>
      <c r="U37" t="str">
        <f t="shared" si="4"/>
        <v>00040</v>
      </c>
      <c r="V37" t="str">
        <f t="shared" si="4"/>
        <v>TESTARD Jean-Claude</v>
      </c>
      <c r="W37" s="340">
        <v>46022</v>
      </c>
      <c r="X37" t="str">
        <f t="shared" si="5"/>
        <v>VALENCE</v>
      </c>
      <c r="Y37" s="339">
        <f t="shared" si="6"/>
        <v>2325.7800000000002</v>
      </c>
      <c r="Z37" s="339">
        <f t="shared" si="7"/>
        <v>25.58</v>
      </c>
      <c r="AA37" t="str">
        <f t="shared" si="8"/>
        <v>Chauffeur PL</v>
      </c>
      <c r="AB37" s="327">
        <f t="shared" si="9"/>
        <v>33512</v>
      </c>
      <c r="AD37" s="341" t="s">
        <v>538</v>
      </c>
      <c r="AE37" s="341" t="s">
        <v>590</v>
      </c>
      <c r="AF37" s="341" t="s">
        <v>591</v>
      </c>
      <c r="AG37" s="342">
        <v>46022</v>
      </c>
      <c r="AH37" s="341" t="s">
        <v>56</v>
      </c>
      <c r="AI37" s="343">
        <v>2325.7800000000002</v>
      </c>
      <c r="AJ37" s="343">
        <v>17.630000000000003</v>
      </c>
    </row>
    <row r="38" spans="1:36" x14ac:dyDescent="0.45">
      <c r="A38" s="337" t="s">
        <v>590</v>
      </c>
      <c r="B38" s="344" t="s">
        <v>591</v>
      </c>
      <c r="C38" s="337" t="s">
        <v>538</v>
      </c>
      <c r="D38" s="337" t="s">
        <v>56</v>
      </c>
      <c r="E38" s="337" t="s">
        <v>466</v>
      </c>
      <c r="F38" s="338">
        <v>2325.7800000000002</v>
      </c>
      <c r="G38" s="338">
        <v>1359.22</v>
      </c>
      <c r="H38" s="338">
        <v>28</v>
      </c>
      <c r="I38" s="338">
        <v>24</v>
      </c>
      <c r="J38" s="338">
        <v>4</v>
      </c>
      <c r="K38" s="338">
        <v>13.63</v>
      </c>
      <c r="L38" s="338">
        <v>0</v>
      </c>
      <c r="M38" s="338">
        <v>13.63</v>
      </c>
      <c r="N38" s="338">
        <v>482.96</v>
      </c>
      <c r="O38" s="338">
        <v>1462.49</v>
      </c>
      <c r="P38" s="339">
        <f t="shared" si="2"/>
        <v>17.630000000000003</v>
      </c>
      <c r="T38" s="341" t="str">
        <f t="shared" si="3"/>
        <v>FATTON AND CO</v>
      </c>
      <c r="U38" s="341" t="str">
        <f t="shared" si="4"/>
        <v>00014</v>
      </c>
      <c r="V38" s="341" t="str">
        <f t="shared" si="4"/>
        <v>VOINEA Valentin</v>
      </c>
      <c r="W38" s="342">
        <v>46022</v>
      </c>
      <c r="X38" s="341" t="str">
        <f t="shared" si="5"/>
        <v>VALENCE</v>
      </c>
      <c r="Y38" s="343">
        <f t="shared" si="6"/>
        <v>2325.7800000000002</v>
      </c>
      <c r="Z38" s="343">
        <f t="shared" si="7"/>
        <v>17.630000000000003</v>
      </c>
      <c r="AA38" s="341" t="e">
        <f t="shared" si="8"/>
        <v>#N/A</v>
      </c>
      <c r="AB38" s="345" t="e">
        <f t="shared" si="9"/>
        <v>#N/A</v>
      </c>
      <c r="AD38" t="s">
        <v>458</v>
      </c>
      <c r="AE38" t="s">
        <v>458</v>
      </c>
      <c r="AG38" s="340"/>
      <c r="AI38" s="339"/>
      <c r="AJ38" s="339"/>
    </row>
    <row r="39" spans="1:36" x14ac:dyDescent="0.45">
      <c r="A39" s="337" t="s">
        <v>575</v>
      </c>
      <c r="B39" s="344" t="s">
        <v>576</v>
      </c>
      <c r="C39" s="337" t="s">
        <v>538</v>
      </c>
      <c r="D39" s="337" t="s">
        <v>48</v>
      </c>
      <c r="E39" s="337" t="s">
        <v>488</v>
      </c>
      <c r="F39" s="338">
        <v>1984.69</v>
      </c>
      <c r="G39" s="338">
        <v>2125.36</v>
      </c>
      <c r="H39" s="338">
        <v>0</v>
      </c>
      <c r="I39" s="338">
        <v>0</v>
      </c>
      <c r="J39" s="338">
        <v>0</v>
      </c>
      <c r="K39" s="338">
        <v>0</v>
      </c>
      <c r="L39" s="338">
        <v>0</v>
      </c>
      <c r="M39" s="338">
        <v>0</v>
      </c>
      <c r="N39" s="338">
        <v>0</v>
      </c>
      <c r="O39" s="338">
        <v>0</v>
      </c>
      <c r="P39" s="339">
        <f t="shared" si="2"/>
        <v>0</v>
      </c>
      <c r="T39" s="341" t="str">
        <f t="shared" si="3"/>
        <v>FATTON AND CO</v>
      </c>
      <c r="U39" s="341" t="str">
        <f t="shared" si="4"/>
        <v>00062</v>
      </c>
      <c r="V39" s="341" t="str">
        <f t="shared" si="4"/>
        <v>ZAPPATERRA Olivier</v>
      </c>
      <c r="W39" s="342">
        <v>46022</v>
      </c>
      <c r="X39" s="341" t="str">
        <f t="shared" si="5"/>
        <v>PUSIGNAN</v>
      </c>
      <c r="Y39" s="343">
        <f t="shared" si="6"/>
        <v>1984.69</v>
      </c>
      <c r="Z39" s="343">
        <f t="shared" si="7"/>
        <v>0</v>
      </c>
      <c r="AA39" s="341" t="e">
        <f t="shared" si="8"/>
        <v>#N/A</v>
      </c>
      <c r="AB39" s="345" t="e">
        <f t="shared" si="9"/>
        <v>#N/A</v>
      </c>
      <c r="AD39" s="326"/>
      <c r="AE39" s="326"/>
      <c r="AF39" s="326"/>
      <c r="AG39" s="330"/>
      <c r="AH39" s="326"/>
      <c r="AI39" s="331"/>
      <c r="AJ39" s="331"/>
    </row>
    <row r="40" spans="1:36" x14ac:dyDescent="0.45">
      <c r="A40" s="346" t="s">
        <v>458</v>
      </c>
      <c r="B40" s="346" t="s">
        <v>592</v>
      </c>
      <c r="C40" s="347" t="s">
        <v>458</v>
      </c>
      <c r="D40" s="347" t="s">
        <v>458</v>
      </c>
      <c r="E40" s="347" t="s">
        <v>458</v>
      </c>
      <c r="F40" s="348">
        <v>87554.86</v>
      </c>
      <c r="G40" s="348">
        <v>90271.17</v>
      </c>
      <c r="H40" s="348">
        <v>885</v>
      </c>
      <c r="I40" s="348">
        <v>601.5</v>
      </c>
      <c r="J40" s="348">
        <v>283.5</v>
      </c>
      <c r="K40" s="348">
        <v>479.97</v>
      </c>
      <c r="L40" s="348">
        <v>88.5</v>
      </c>
      <c r="M40" s="348">
        <v>391.47</v>
      </c>
      <c r="N40" s="348">
        <v>37973.769999999997</v>
      </c>
      <c r="O40" s="348">
        <v>51901.26</v>
      </c>
      <c r="P40" s="339">
        <f t="shared" si="2"/>
        <v>674.97</v>
      </c>
      <c r="T40" t="str">
        <f t="shared" si="3"/>
        <v/>
      </c>
      <c r="U40" t="str">
        <f t="shared" si="4"/>
        <v/>
      </c>
      <c r="V40" t="str">
        <f t="shared" si="4"/>
        <v>Total général</v>
      </c>
      <c r="W40" s="340">
        <v>45809</v>
      </c>
      <c r="X40" t="str">
        <f t="shared" si="5"/>
        <v/>
      </c>
      <c r="Y40" s="339">
        <f t="shared" si="6"/>
        <v>87554.86</v>
      </c>
      <c r="Z40" s="339">
        <f t="shared" si="7"/>
        <v>674.97</v>
      </c>
      <c r="AA40" t="e">
        <f t="shared" si="8"/>
        <v>#N/A</v>
      </c>
      <c r="AB40" s="327" t="e">
        <f t="shared" si="9"/>
        <v>#N/A</v>
      </c>
      <c r="AD40" s="326"/>
      <c r="AE40" s="326"/>
      <c r="AF40" s="326"/>
      <c r="AG40" s="330"/>
      <c r="AH40" s="326"/>
      <c r="AI40" s="331"/>
      <c r="AJ40" s="331"/>
    </row>
    <row r="41" spans="1:36" x14ac:dyDescent="0.45">
      <c r="G41">
        <f>G40*12</f>
        <v>1083254.04</v>
      </c>
      <c r="P41" s="339"/>
      <c r="T41">
        <f t="shared" si="3"/>
        <v>0</v>
      </c>
      <c r="U41">
        <f t="shared" ref="U41:V55" si="10">+A41</f>
        <v>0</v>
      </c>
      <c r="V41">
        <f t="shared" si="10"/>
        <v>0</v>
      </c>
      <c r="W41" s="340">
        <v>45809</v>
      </c>
      <c r="X41">
        <f t="shared" si="5"/>
        <v>0</v>
      </c>
      <c r="Y41" s="339">
        <f t="shared" si="6"/>
        <v>0</v>
      </c>
      <c r="Z41" s="339">
        <f t="shared" si="7"/>
        <v>0</v>
      </c>
      <c r="AA41" t="e">
        <f t="shared" si="8"/>
        <v>#N/A</v>
      </c>
      <c r="AB41" s="327" t="e">
        <f t="shared" si="9"/>
        <v>#N/A</v>
      </c>
      <c r="AD41" s="326"/>
      <c r="AE41" s="326"/>
      <c r="AF41" s="326"/>
      <c r="AG41" s="330"/>
      <c r="AH41" s="326"/>
      <c r="AI41" s="331"/>
      <c r="AJ41" s="331"/>
    </row>
    <row r="42" spans="1:36" x14ac:dyDescent="0.45">
      <c r="G42">
        <f>G41*1.45</f>
        <v>1570718.358</v>
      </c>
      <c r="P42" s="339"/>
      <c r="T42">
        <f t="shared" si="3"/>
        <v>0</v>
      </c>
      <c r="U42">
        <f t="shared" si="10"/>
        <v>0</v>
      </c>
      <c r="V42">
        <f t="shared" si="10"/>
        <v>0</v>
      </c>
      <c r="W42" s="340">
        <v>45809</v>
      </c>
      <c r="X42">
        <f t="shared" si="5"/>
        <v>0</v>
      </c>
      <c r="Y42" s="339">
        <f t="shared" si="6"/>
        <v>0</v>
      </c>
      <c r="Z42" s="339">
        <f t="shared" si="7"/>
        <v>0</v>
      </c>
      <c r="AA42" t="e">
        <f t="shared" si="8"/>
        <v>#N/A</v>
      </c>
      <c r="AB42" s="327" t="e">
        <f t="shared" si="9"/>
        <v>#N/A</v>
      </c>
      <c r="AD42" s="326"/>
      <c r="AE42" s="326"/>
      <c r="AF42" s="326"/>
      <c r="AG42" s="330"/>
      <c r="AH42" s="326"/>
      <c r="AI42" s="331"/>
      <c r="AJ42" s="331"/>
    </row>
    <row r="43" spans="1:36" x14ac:dyDescent="0.45">
      <c r="P43" s="339"/>
      <c r="T43">
        <f t="shared" si="3"/>
        <v>0</v>
      </c>
      <c r="U43">
        <f t="shared" si="10"/>
        <v>0</v>
      </c>
      <c r="V43">
        <f t="shared" si="10"/>
        <v>0</v>
      </c>
      <c r="W43" s="340">
        <v>45627</v>
      </c>
      <c r="X43">
        <f t="shared" si="5"/>
        <v>0</v>
      </c>
      <c r="Y43" s="339">
        <f t="shared" si="6"/>
        <v>0</v>
      </c>
      <c r="Z43" s="339">
        <f t="shared" si="7"/>
        <v>0</v>
      </c>
      <c r="AA43" t="e">
        <f t="shared" si="8"/>
        <v>#N/A</v>
      </c>
      <c r="AB43" s="327" t="e">
        <f t="shared" si="9"/>
        <v>#N/A</v>
      </c>
      <c r="AD43" s="326"/>
      <c r="AE43" s="326"/>
      <c r="AF43" s="326"/>
      <c r="AG43" s="330"/>
      <c r="AH43" s="326"/>
      <c r="AI43" s="331"/>
      <c r="AJ43" s="331"/>
    </row>
    <row r="44" spans="1:36" x14ac:dyDescent="0.45">
      <c r="P44" s="339"/>
      <c r="T44">
        <f t="shared" si="3"/>
        <v>0</v>
      </c>
      <c r="U44">
        <f t="shared" si="10"/>
        <v>0</v>
      </c>
      <c r="V44">
        <f t="shared" si="10"/>
        <v>0</v>
      </c>
      <c r="W44" s="340">
        <v>45627</v>
      </c>
      <c r="X44">
        <f t="shared" si="5"/>
        <v>0</v>
      </c>
      <c r="Y44" s="339">
        <f t="shared" si="6"/>
        <v>0</v>
      </c>
      <c r="Z44" s="339">
        <f t="shared" si="7"/>
        <v>0</v>
      </c>
      <c r="AA44" t="e">
        <f t="shared" si="8"/>
        <v>#N/A</v>
      </c>
      <c r="AB44" s="327" t="e">
        <f t="shared" si="9"/>
        <v>#N/A</v>
      </c>
      <c r="AG44" s="340"/>
      <c r="AI44" s="339"/>
      <c r="AJ44" s="339"/>
    </row>
    <row r="45" spans="1:36" x14ac:dyDescent="0.45">
      <c r="P45" s="339"/>
      <c r="T45">
        <f t="shared" si="3"/>
        <v>0</v>
      </c>
      <c r="U45">
        <f t="shared" si="10"/>
        <v>0</v>
      </c>
      <c r="V45">
        <f t="shared" si="10"/>
        <v>0</v>
      </c>
      <c r="W45" s="340">
        <v>45627</v>
      </c>
      <c r="X45">
        <f t="shared" si="5"/>
        <v>0</v>
      </c>
      <c r="Y45" s="339">
        <f t="shared" si="6"/>
        <v>0</v>
      </c>
      <c r="Z45" s="339">
        <f t="shared" si="7"/>
        <v>0</v>
      </c>
      <c r="AA45" t="e">
        <f t="shared" si="8"/>
        <v>#N/A</v>
      </c>
      <c r="AB45" s="327" t="e">
        <f t="shared" si="9"/>
        <v>#N/A</v>
      </c>
      <c r="AG45" s="340"/>
      <c r="AI45" s="339"/>
      <c r="AJ45" s="339"/>
    </row>
    <row r="46" spans="1:36" x14ac:dyDescent="0.45">
      <c r="P46" s="339"/>
      <c r="T46">
        <f t="shared" si="3"/>
        <v>0</v>
      </c>
      <c r="U46">
        <f t="shared" si="10"/>
        <v>0</v>
      </c>
      <c r="V46">
        <f t="shared" si="10"/>
        <v>0</v>
      </c>
      <c r="W46" s="340">
        <v>45627</v>
      </c>
      <c r="X46">
        <f t="shared" si="5"/>
        <v>0</v>
      </c>
      <c r="Y46" s="339">
        <f t="shared" si="6"/>
        <v>0</v>
      </c>
      <c r="Z46" s="339">
        <f t="shared" si="7"/>
        <v>0</v>
      </c>
      <c r="AA46" t="e">
        <f t="shared" si="8"/>
        <v>#N/A</v>
      </c>
      <c r="AB46" s="327" t="e">
        <f t="shared" si="9"/>
        <v>#N/A</v>
      </c>
      <c r="AG46" s="340"/>
      <c r="AI46" s="339"/>
      <c r="AJ46" s="339"/>
    </row>
    <row r="47" spans="1:36" x14ac:dyDescent="0.45">
      <c r="P47" s="339"/>
      <c r="T47">
        <f t="shared" si="3"/>
        <v>0</v>
      </c>
      <c r="U47">
        <f t="shared" si="10"/>
        <v>0</v>
      </c>
      <c r="V47">
        <f t="shared" si="10"/>
        <v>0</v>
      </c>
      <c r="W47" s="340">
        <v>45627</v>
      </c>
      <c r="X47">
        <f t="shared" si="5"/>
        <v>0</v>
      </c>
      <c r="Y47" s="339">
        <f t="shared" si="6"/>
        <v>0</v>
      </c>
      <c r="Z47" s="339">
        <f t="shared" si="7"/>
        <v>0</v>
      </c>
      <c r="AA47" t="e">
        <f t="shared" si="8"/>
        <v>#N/A</v>
      </c>
      <c r="AB47" s="327" t="e">
        <f t="shared" si="9"/>
        <v>#N/A</v>
      </c>
      <c r="AG47" s="340"/>
      <c r="AI47" s="339"/>
      <c r="AJ47" s="339"/>
    </row>
    <row r="48" spans="1:36" x14ac:dyDescent="0.45">
      <c r="P48" s="339"/>
      <c r="T48">
        <f t="shared" si="3"/>
        <v>0</v>
      </c>
      <c r="U48">
        <f t="shared" si="10"/>
        <v>0</v>
      </c>
      <c r="V48">
        <f t="shared" si="10"/>
        <v>0</v>
      </c>
      <c r="W48" s="340">
        <v>45627</v>
      </c>
      <c r="X48">
        <f t="shared" si="5"/>
        <v>0</v>
      </c>
      <c r="Y48" s="339">
        <f t="shared" si="6"/>
        <v>0</v>
      </c>
      <c r="Z48" s="339">
        <f t="shared" si="7"/>
        <v>0</v>
      </c>
      <c r="AA48" t="e">
        <f t="shared" si="8"/>
        <v>#N/A</v>
      </c>
      <c r="AB48" s="327" t="e">
        <f t="shared" si="9"/>
        <v>#N/A</v>
      </c>
      <c r="AG48" s="340"/>
      <c r="AI48" s="339"/>
      <c r="AJ48" s="339"/>
    </row>
    <row r="49" spans="16:36" x14ac:dyDescent="0.45">
      <c r="P49" s="339"/>
      <c r="T49">
        <f t="shared" si="3"/>
        <v>0</v>
      </c>
      <c r="U49">
        <f t="shared" si="10"/>
        <v>0</v>
      </c>
      <c r="V49">
        <f t="shared" si="10"/>
        <v>0</v>
      </c>
      <c r="W49" s="340">
        <v>45627</v>
      </c>
      <c r="X49">
        <f t="shared" si="5"/>
        <v>0</v>
      </c>
      <c r="Y49" s="339">
        <f t="shared" si="6"/>
        <v>0</v>
      </c>
      <c r="Z49" s="339">
        <f t="shared" si="7"/>
        <v>0</v>
      </c>
      <c r="AA49" t="e">
        <f t="shared" si="8"/>
        <v>#N/A</v>
      </c>
      <c r="AB49" s="327" t="e">
        <f t="shared" si="9"/>
        <v>#N/A</v>
      </c>
      <c r="AG49" s="340"/>
      <c r="AI49" s="339"/>
      <c r="AJ49" s="339"/>
    </row>
    <row r="50" spans="16:36" x14ac:dyDescent="0.45">
      <c r="P50" s="339"/>
      <c r="T50">
        <f t="shared" si="3"/>
        <v>0</v>
      </c>
      <c r="U50">
        <f t="shared" si="10"/>
        <v>0</v>
      </c>
      <c r="V50">
        <f t="shared" si="10"/>
        <v>0</v>
      </c>
      <c r="W50" s="340">
        <v>45627</v>
      </c>
      <c r="X50">
        <f t="shared" si="5"/>
        <v>0</v>
      </c>
      <c r="Y50" s="339">
        <f t="shared" si="6"/>
        <v>0</v>
      </c>
      <c r="Z50" s="339">
        <f t="shared" si="7"/>
        <v>0</v>
      </c>
      <c r="AA50" t="e">
        <f t="shared" si="8"/>
        <v>#N/A</v>
      </c>
      <c r="AB50" s="327" t="e">
        <f t="shared" si="9"/>
        <v>#N/A</v>
      </c>
      <c r="AG50" s="340"/>
      <c r="AI50" s="339"/>
      <c r="AJ50" s="339"/>
    </row>
    <row r="51" spans="16:36" x14ac:dyDescent="0.45">
      <c r="P51" s="339"/>
      <c r="T51">
        <f t="shared" si="3"/>
        <v>0</v>
      </c>
      <c r="U51">
        <f t="shared" si="10"/>
        <v>0</v>
      </c>
      <c r="V51">
        <f t="shared" si="10"/>
        <v>0</v>
      </c>
      <c r="W51" s="340">
        <v>45627</v>
      </c>
      <c r="X51">
        <f t="shared" si="5"/>
        <v>0</v>
      </c>
      <c r="Y51" s="339">
        <f t="shared" si="6"/>
        <v>0</v>
      </c>
      <c r="Z51" s="339">
        <f t="shared" si="7"/>
        <v>0</v>
      </c>
      <c r="AA51" t="e">
        <f t="shared" si="8"/>
        <v>#N/A</v>
      </c>
      <c r="AB51" s="327" t="e">
        <f t="shared" si="9"/>
        <v>#N/A</v>
      </c>
      <c r="AG51" s="340"/>
      <c r="AI51" s="339"/>
      <c r="AJ51" s="339"/>
    </row>
    <row r="52" spans="16:36" x14ac:dyDescent="0.45">
      <c r="P52" s="339"/>
      <c r="T52">
        <f t="shared" si="3"/>
        <v>0</v>
      </c>
      <c r="U52">
        <f t="shared" si="10"/>
        <v>0</v>
      </c>
      <c r="V52">
        <f t="shared" si="10"/>
        <v>0</v>
      </c>
      <c r="W52" s="340">
        <v>45627</v>
      </c>
      <c r="X52">
        <f t="shared" si="5"/>
        <v>0</v>
      </c>
      <c r="Y52" s="339">
        <f t="shared" si="6"/>
        <v>0</v>
      </c>
      <c r="Z52" s="339">
        <f t="shared" si="7"/>
        <v>0</v>
      </c>
      <c r="AA52" t="e">
        <f t="shared" si="8"/>
        <v>#N/A</v>
      </c>
      <c r="AB52" s="327" t="e">
        <f t="shared" si="9"/>
        <v>#N/A</v>
      </c>
      <c r="AG52" s="340"/>
      <c r="AI52" s="339"/>
      <c r="AJ52" s="339"/>
    </row>
    <row r="53" spans="16:36" x14ac:dyDescent="0.45">
      <c r="P53" s="339"/>
      <c r="T53">
        <f t="shared" si="3"/>
        <v>0</v>
      </c>
      <c r="U53">
        <f t="shared" si="10"/>
        <v>0</v>
      </c>
      <c r="V53">
        <f t="shared" si="10"/>
        <v>0</v>
      </c>
      <c r="W53" s="340">
        <v>45627</v>
      </c>
      <c r="X53">
        <f t="shared" si="5"/>
        <v>0</v>
      </c>
      <c r="Y53" s="339">
        <f t="shared" si="6"/>
        <v>0</v>
      </c>
      <c r="Z53" s="339">
        <f t="shared" si="7"/>
        <v>0</v>
      </c>
      <c r="AA53" t="e">
        <f t="shared" si="8"/>
        <v>#N/A</v>
      </c>
      <c r="AB53" s="327" t="e">
        <f t="shared" si="9"/>
        <v>#N/A</v>
      </c>
      <c r="AG53" s="340"/>
      <c r="AI53" s="339"/>
      <c r="AJ53" s="339"/>
    </row>
    <row r="54" spans="16:36" x14ac:dyDescent="0.45">
      <c r="P54" s="339"/>
      <c r="T54">
        <f t="shared" si="3"/>
        <v>0</v>
      </c>
      <c r="U54">
        <f t="shared" si="10"/>
        <v>0</v>
      </c>
      <c r="V54">
        <f t="shared" si="10"/>
        <v>0</v>
      </c>
      <c r="W54" s="340">
        <v>45627</v>
      </c>
      <c r="X54">
        <f t="shared" si="5"/>
        <v>0</v>
      </c>
      <c r="Y54" s="339">
        <f t="shared" si="6"/>
        <v>0</v>
      </c>
      <c r="Z54" s="339">
        <f t="shared" si="7"/>
        <v>0</v>
      </c>
      <c r="AA54" t="e">
        <f t="shared" si="8"/>
        <v>#N/A</v>
      </c>
      <c r="AB54" s="327" t="e">
        <f t="shared" si="9"/>
        <v>#N/A</v>
      </c>
    </row>
    <row r="55" spans="16:36" x14ac:dyDescent="0.45">
      <c r="P55" s="339"/>
      <c r="T55">
        <f t="shared" si="3"/>
        <v>0</v>
      </c>
      <c r="U55">
        <f t="shared" si="10"/>
        <v>0</v>
      </c>
      <c r="V55">
        <f t="shared" si="10"/>
        <v>0</v>
      </c>
      <c r="W55" s="340">
        <v>45627</v>
      </c>
      <c r="X55">
        <f t="shared" si="5"/>
        <v>0</v>
      </c>
      <c r="Y55" s="339">
        <f t="shared" si="6"/>
        <v>0</v>
      </c>
      <c r="Z55" s="339">
        <f t="shared" si="7"/>
        <v>0</v>
      </c>
      <c r="AA55" t="e">
        <f t="shared" si="8"/>
        <v>#N/A</v>
      </c>
      <c r="AB55" s="327" t="e">
        <f t="shared" si="9"/>
        <v>#N/A</v>
      </c>
    </row>
    <row r="56" spans="16:36" x14ac:dyDescent="0.45">
      <c r="P56" s="339"/>
    </row>
    <row r="57" spans="16:36" x14ac:dyDescent="0.45">
      <c r="P57" s="339"/>
    </row>
    <row r="58" spans="16:36" x14ac:dyDescent="0.45">
      <c r="P58" s="339"/>
    </row>
    <row r="59" spans="16:36" x14ac:dyDescent="0.45">
      <c r="P59" s="339"/>
    </row>
    <row r="60" spans="16:36" x14ac:dyDescent="0.45">
      <c r="P60" s="339"/>
    </row>
    <row r="61" spans="16:36" x14ac:dyDescent="0.45">
      <c r="P61" s="339"/>
    </row>
    <row r="62" spans="16:36" x14ac:dyDescent="0.45">
      <c r="P62" s="339"/>
    </row>
    <row r="63" spans="16:36" x14ac:dyDescent="0.45">
      <c r="P63" s="339"/>
    </row>
    <row r="64" spans="16:36" x14ac:dyDescent="0.45">
      <c r="P64" s="339"/>
    </row>
    <row r="65" spans="16:16" x14ac:dyDescent="0.45">
      <c r="P65" s="339"/>
    </row>
    <row r="66" spans="16:16" x14ac:dyDescent="0.45">
      <c r="P66" s="339"/>
    </row>
    <row r="67" spans="16:16" x14ac:dyDescent="0.45">
      <c r="P67" s="339"/>
    </row>
    <row r="68" spans="16:16" x14ac:dyDescent="0.45">
      <c r="P68" s="339"/>
    </row>
    <row r="69" spans="16:16" x14ac:dyDescent="0.45">
      <c r="P69" s="339"/>
    </row>
    <row r="70" spans="16:16" x14ac:dyDescent="0.45">
      <c r="P70" s="339"/>
    </row>
    <row r="71" spans="16:16" x14ac:dyDescent="0.45">
      <c r="P71" s="339"/>
    </row>
    <row r="72" spans="16:16" x14ac:dyDescent="0.45">
      <c r="P72" s="339"/>
    </row>
    <row r="73" spans="16:16" x14ac:dyDescent="0.45">
      <c r="P73" s="339"/>
    </row>
    <row r="74" spans="16:16" x14ac:dyDescent="0.45">
      <c r="P74" s="339"/>
    </row>
    <row r="75" spans="16:16" x14ac:dyDescent="0.45">
      <c r="P75" s="339"/>
    </row>
    <row r="76" spans="16:16" x14ac:dyDescent="0.45">
      <c r="P76" s="339"/>
    </row>
    <row r="77" spans="16:16" x14ac:dyDescent="0.45">
      <c r="P77" s="339"/>
    </row>
    <row r="78" spans="16:16" x14ac:dyDescent="0.45">
      <c r="P78" s="339"/>
    </row>
    <row r="79" spans="16:16" x14ac:dyDescent="0.45">
      <c r="P79" s="339"/>
    </row>
    <row r="80" spans="16:16" x14ac:dyDescent="0.45">
      <c r="P80" s="339"/>
    </row>
    <row r="81" spans="16:16" x14ac:dyDescent="0.45">
      <c r="P81" s="339"/>
    </row>
    <row r="82" spans="16:16" x14ac:dyDescent="0.45">
      <c r="P82" s="339"/>
    </row>
    <row r="83" spans="16:16" x14ac:dyDescent="0.45">
      <c r="P83" s="339"/>
    </row>
    <row r="84" spans="16:16" x14ac:dyDescent="0.45">
      <c r="P84" s="339"/>
    </row>
    <row r="85" spans="16:16" x14ac:dyDescent="0.45">
      <c r="P85" s="339"/>
    </row>
    <row r="86" spans="16:16" x14ac:dyDescent="0.45">
      <c r="P86" s="339"/>
    </row>
    <row r="87" spans="16:16" x14ac:dyDescent="0.45">
      <c r="P87" s="339"/>
    </row>
    <row r="88" spans="16:16" x14ac:dyDescent="0.45">
      <c r="P88" s="339"/>
    </row>
    <row r="89" spans="16:16" x14ac:dyDescent="0.45">
      <c r="P89" s="339"/>
    </row>
    <row r="90" spans="16:16" x14ac:dyDescent="0.45">
      <c r="P90" s="339"/>
    </row>
    <row r="91" spans="16:16" x14ac:dyDescent="0.45">
      <c r="P91" s="339"/>
    </row>
    <row r="92" spans="16:16" x14ac:dyDescent="0.45">
      <c r="P92" s="339"/>
    </row>
    <row r="93" spans="16:16" x14ac:dyDescent="0.45">
      <c r="P93" s="339"/>
    </row>
    <row r="94" spans="16:16" x14ac:dyDescent="0.45">
      <c r="P94" s="339"/>
    </row>
    <row r="95" spans="16:16" x14ac:dyDescent="0.45">
      <c r="P95" s="339"/>
    </row>
    <row r="96" spans="16:16" x14ac:dyDescent="0.45">
      <c r="P96" s="339"/>
    </row>
    <row r="97" spans="16:16" x14ac:dyDescent="0.45">
      <c r="P97" s="339"/>
    </row>
    <row r="98" spans="16:16" x14ac:dyDescent="0.45">
      <c r="P98" s="339"/>
    </row>
    <row r="99" spans="16:16" x14ac:dyDescent="0.45">
      <c r="P99" s="339"/>
    </row>
    <row r="100" spans="16:16" x14ac:dyDescent="0.45">
      <c r="P100" s="339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</vt:i4>
      </vt:variant>
    </vt:vector>
  </HeadingPairs>
  <TitlesOfParts>
    <vt:vector size="12" baseType="lpstr">
      <vt:lpstr>👥 Personnel</vt:lpstr>
      <vt:lpstr>📈 Dashboard</vt:lpstr>
      <vt:lpstr>📊 Tableaux PSE</vt:lpstr>
      <vt:lpstr>📊 Analyse Éco PSE</vt:lpstr>
      <vt:lpstr>💰 Calcul Indemnites</vt:lpstr>
      <vt:lpstr>📊 Masse Salariale</vt:lpstr>
      <vt:lpstr>⚖️ Legal vs Conventionnel</vt:lpstr>
      <vt:lpstr>📋 Synthèse PSE</vt:lpstr>
      <vt:lpstr>⚙️ Parametres</vt:lpstr>
      <vt:lpstr>Feuil1</vt:lpstr>
      <vt:lpstr>Feuil2</vt:lpstr>
      <vt:lpstr>'📈 Dashboard'!Zone_d_impression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Didier Caron</cp:lastModifiedBy>
  <cp:revision/>
  <dcterms:created xsi:type="dcterms:W3CDTF">2026-03-06T16:11:02Z</dcterms:created>
  <dcterms:modified xsi:type="dcterms:W3CDTF">2026-03-16T14:22:44Z</dcterms:modified>
  <cp:category/>
  <cp:contentStatus/>
</cp:coreProperties>
</file>